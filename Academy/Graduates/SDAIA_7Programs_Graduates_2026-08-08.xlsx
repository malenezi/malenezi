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Graduate List" sheetId="1" state="visible" r:id="rId3"/>
    <sheet name="Program Breakdown" sheetId="2" state="visible" r:id="rId4"/>
    <sheet name="Evidence Summary" sheetId="3" state="visible" r:id="rId5"/>
    <sheet name="Unverified Leads" sheetId="4" state="visible" r:id="rId6"/>
    <sheet name="Research Statistics" sheetId="5" state="visible" r:id="rId7"/>
  </sheets>
  <definedNames>
    <definedName function="false" hidden="true" localSheetId="0" name="_xlnm._FilterDatabase" vbProcedure="false">'Master Graduate List'!$A$1:$J$246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<sst xmlns="http://schemas.openxmlformats.org/spreadsheetml/2006/main" count="4016" uniqueCount="1464">
  <si>
    <t xml:space="preserve">#</t>
  </si>
  <si>
    <t xml:space="preserve">الاسم العربي
Arabic Name</t>
  </si>
  <si>
    <t xml:space="preserve">الاسم الإنجليزي
English Name</t>
  </si>
  <si>
    <t xml:space="preserve">برنامج أكاديمية سدايا
SDAIA Academy Program</t>
  </si>
  <si>
    <t xml:space="preserve">سنة التخرج/الإتمام
Year</t>
  </si>
  <si>
    <t xml:space="preserve">LinkedIn</t>
  </si>
  <si>
    <t xml:space="preserve">GitHub</t>
  </si>
  <si>
    <t xml:space="preserve">موقع/بورتفوليو
Website</t>
  </si>
  <si>
    <t xml:space="preserve">مصدر الدليل
Evidence Source</t>
  </si>
  <si>
    <t xml:space="preserve">درجة الثقة
Confidence</t>
  </si>
  <si>
    <t xml:space="preserve">جهاد الحازمي</t>
  </si>
  <si>
    <t xml:space="preserve">Jehad Alhazmi</t>
  </si>
  <si>
    <t xml:space="preserve">معسكر هندسة البيانات</t>
  </si>
  <si>
    <t xml:space="preserve">2026 (~فبراير — التكريم في مؤتمر ICAN)</t>
  </si>
  <si>
    <t xml:space="preserve">https://www.linkedin.com/in/jehadalhazmi</t>
  </si>
  <si>
    <t xml:space="preserve">—</t>
  </si>
  <si>
    <t xml:space="preserve">منشور علني (~فبراير 2026) يوثّق حصوله على شهادة اجتياز معسكر هندسة البيانات وتسلّمها ضمن مؤتمر ICAN. محلل هندسة بيانات بشهادات Microsoft (Azure، Power BI، SQL، Fabric). — https://www.linkedin.com/posts/jehadalhazmi_sdaia-ican-dataengineer-ugcPost-7423615489144356864-Z5Fa/</t>
  </si>
  <si>
    <t xml:space="preserve">High</t>
  </si>
  <si>
    <t xml:space="preserve">سارة سلطان</t>
  </si>
  <si>
    <t xml:space="preserve">Sarah Sultan</t>
  </si>
  <si>
    <t xml:space="preserve">2026</t>
  </si>
  <si>
    <t xml:space="preserve">https://github.com/sarah1421</t>
  </si>
  <si>
    <t xml:space="preserve">سجل مضاف في المسح العلني الموسّع (أغسطس 2026). التخصص: RAG للامتثال التنظيمي (SAMA) / معمارية Medallion. الدليل: SDAIA Modern Data Engineering Bootcamp — Final Capstone Project (June 2026) — https://github.com/sarah1421/PRO_DATAENG_SDAIA</t>
  </si>
  <si>
    <t xml:space="preserve">الجوهرة السبيعي</t>
  </si>
  <si>
    <t xml:space="preserve">Aljawharah Alsubaie</t>
  </si>
  <si>
    <t xml:space="preserve">هندسة البيانات</t>
  </si>
  <si>
    <t xml:space="preserve">https://github.com/AljawharahAlqabbani/SDAIA-projects</t>
  </si>
  <si>
    <t xml:space="preserve">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</si>
  <si>
    <t xml:space="preserve">بتول عسيري</t>
  </si>
  <si>
    <t xml:space="preserve">Btool Asiri</t>
  </si>
  <si>
    <t xml:space="preserve">https://github.com/Nfnf-56</t>
  </si>
  <si>
    <t xml:space="preserve">سجل مضاف في المسح العلني الموسّع (أغسطس 2026). التخصص: هندسة البيانات (Kafka, Delta Lake, Great Expectations, OpenLineage). الدليل: **Student:** Btool Asiri ... SDAIA Academy capstone. — https://github.com/Nfnf-56/capstone-retail-pipeline</t>
  </si>
  <si>
    <t xml:space="preserve">جوري الحسن</t>
  </si>
  <si>
    <t xml:space="preserve">Jory Alhassan</t>
  </si>
  <si>
    <t xml:space="preserve">https://github.com/joryhh/data-engineering-capstone</t>
  </si>
  <si>
    <t xml:space="preserve">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</si>
  <si>
    <t xml:space="preserve">دانة السيدان</t>
  </si>
  <si>
    <t xml:space="preserve">Dana Alsaidan</t>
  </si>
  <si>
    <t xml:space="preserve">https://github.com/Shatha-1/Data-engineering</t>
  </si>
  <si>
    <t xml:space="preserve">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t>
  </si>
  <si>
    <t xml:space="preserve">رزان المطيري</t>
  </si>
  <si>
    <t xml:space="preserve">Razan Almutairi</t>
  </si>
  <si>
    <t xml:space="preserve">روان القحطاني</t>
  </si>
  <si>
    <t xml:space="preserve">Rawan Alqahtani</t>
  </si>
  <si>
    <t xml:space="preserve">https://github.com/Rawan1H</t>
  </si>
  <si>
    <t xml:space="preserve">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 — https://github.com/Alanoud-Alotaibi/sdaia-capstone-data-pipeline</t>
  </si>
  <si>
    <t xml:space="preserve">ريان الشريفي</t>
  </si>
  <si>
    <t xml:space="preserve">Rayan Shareefi</t>
  </si>
  <si>
    <t xml:space="preserve">https://github.com/Rayan-Shareefi</t>
  </si>
  <si>
    <t xml:space="preserve">README: SDAIA Academy — Modern Data Engineering for AI Systems capstone، 2–6 أغسطس 2026 — https://github.com/Rayan-Shareefi/smart-university-knowledge-assistant</t>
  </si>
  <si>
    <t xml:space="preserve">ريما الدايل</t>
  </si>
  <si>
    <t xml:space="preserve">Reema AlDayel</t>
  </si>
  <si>
    <t xml:space="preserve">https://github.com/Ghhaidaa/Data-Engineering-for-AI-System-DAICO</t>
  </si>
  <si>
    <t xml:space="preserve">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</si>
  <si>
    <t xml:space="preserve">سند الخمالي</t>
  </si>
  <si>
    <t xml:space="preserve">Sanad Alkhamali</t>
  </si>
  <si>
    <t xml:space="preserve">مذكور بالاسم ضمن فريق مشروع التخرج في README المستودع أعلاه — https://github.com/c3bod/sdaia-capstone-modern-data-engineering</t>
  </si>
  <si>
    <t xml:space="preserve">سيف أبوخميس</t>
  </si>
  <si>
    <t xml:space="preserve">Saif Abukhamis</t>
  </si>
  <si>
    <t xml:space="preserve">https://github.com/saifabokhamees1-cmyk</t>
  </si>
  <si>
    <t xml:space="preserve">عضو فريق مشروع التخرج في README المستودع أعلاه — https://github.com/AK7Amin/SDAIA-DATA-Engineering</t>
  </si>
  <si>
    <t xml:space="preserve">شادن الغنام</t>
  </si>
  <si>
    <t xml:space="preserve">Shaden Alghannam</t>
  </si>
  <si>
    <t xml:space="preserve">صالح خالد جروان</t>
  </si>
  <si>
    <t xml:space="preserve">Saleh Khalid Jarwan</t>
  </si>
  <si>
    <t xml:space="preserve">https://github.com/CsSaleh17</t>
  </si>
  <si>
    <t xml:space="preserve">README: «'Modern Data Engineering for AI Systems' provided by SDAIA Academy … 2–6 August 2026» — https://github.com/CsSaleh17/sdaia-product-safety-intelligence</t>
  </si>
  <si>
    <t xml:space="preserve">طرفة الشريدة</t>
  </si>
  <si>
    <t xml:space="preserve">Tarfah Alsharidah</t>
  </si>
  <si>
    <t xml:space="preserve">https://github.com/Lama16/modern-data-engineering-project</t>
  </si>
  <si>
    <t xml:space="preserve">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t>
  </si>
  <si>
    <t xml:space="preserve">عبدالإله الحربي</t>
  </si>
  <si>
    <t xml:space="preserve">Abdulelah Alharbi</t>
  </si>
  <si>
    <t xml:space="preserve">https://github.com/c3bod</t>
  </si>
  <si>
    <t xml:space="preserve">README مشروع التخرج: SDAIA Academy — Modern Data Engineering for AI Systems؛ المدرب محمد البلادي؛ مالك المستودع — https://github.com/c3bod/sdaia-capstone-modern-data-engineering</t>
  </si>
  <si>
    <t xml:space="preserve">عبدالعزيز العقص</t>
  </si>
  <si>
    <t xml:space="preserve">Abdulaziz Alaqs</t>
  </si>
  <si>
    <t xml:space="preserve">2026 (يوليو)</t>
  </si>
  <si>
    <t xml:space="preserve">https://www.linkedin.com/in/abdulaziz-aqs</t>
  </si>
  <si>
    <t xml:space="preserve">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 — https://www.linkedin.com/posts/abdulaziz-aqs_ai-engineering-data-pipelines-llms-ugcPost-7485258707635802113-zP70/</t>
  </si>
  <si>
    <t xml:space="preserve">عبدالعزيز الفضلي</t>
  </si>
  <si>
    <t xml:space="preserve">Abdulaziz Fadhli</t>
  </si>
  <si>
    <t xml:space="preserve">https://github.com/Abdulaziz-Fadhli</t>
  </si>
  <si>
    <t xml:space="preserve">README: «Completed as the capstone project for Modern Data Engineering for AI Systems, SDAIA Academy (delivered via Learning Space)» — https://github.com/Abdulaziz-Fadhli/flight-ops-intelligence</t>
  </si>
  <si>
    <t xml:space="preserve">عبدالعزيز مليا</t>
  </si>
  <si>
    <t xml:space="preserve">Abdulaziz Mulia</t>
  </si>
  <si>
    <t xml:space="preserve">https://github.com/AK7Amin</t>
  </si>
  <si>
    <t xml:space="preserve">README مشروع التخرج «Capstone for the SDAIA Academy program Modern Data Engineering for AI Systems» — 2–6 أغسطس 2026؛ قائد الفريق — https://github.com/AK7Amin/SDAIA-DATA-Engineering</t>
  </si>
  <si>
    <t xml:space="preserve">عبدالله النجاشي</t>
  </si>
  <si>
    <t xml:space="preserve">Abdullah Alnajashi</t>
  </si>
  <si>
    <t xml:space="preserve">غلا العواد</t>
  </si>
  <si>
    <t xml:space="preserve">Ghala Alawad</t>
  </si>
  <si>
    <t xml:space="preserve">https://github.com/GhalaAwd</t>
  </si>
  <si>
    <t xml:space="preserve">سجل مضاف في المسح العلني الموسّع (أغسطس 2026). التخصص: هندسة البيانات (Kafka, Delta lakehouse, RAG, Airflow). الدليل: **Student:** Ghala Alawad ... SDAIA Academy capstone — https://github.com/GhalaAwd/Capstone-Project-Modern-Data-Engineering-for-AI-Systems</t>
  </si>
  <si>
    <t xml:space="preserve">غيداء بن معدي</t>
  </si>
  <si>
    <t xml:space="preserve">Ghaida Bin Maadi</t>
  </si>
  <si>
    <t xml:space="preserve">فاطمة الزير</t>
  </si>
  <si>
    <t xml:space="preserve">Fatimah Alzeer</t>
  </si>
  <si>
    <t xml:space="preserve">https://github.com/1FATIMAH1/-Data-Engineering-for-AI-Systems--DAICO</t>
  </si>
  <si>
    <t xml:space="preserve">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</si>
  <si>
    <t xml:space="preserve">فراس الحربي</t>
  </si>
  <si>
    <t xml:space="preserve">Feras Al-Harbi</t>
  </si>
  <si>
    <t xml:space="preserve">https://github.com/feras17009-stack</t>
  </si>
  <si>
    <t xml:space="preserve">فيصل العبدالجبار</t>
  </si>
  <si>
    <t xml:space="preserve">Faisal Al-Abdul-Jabbar</t>
  </si>
  <si>
    <t xml:space="preserve">https://github.com/7luc</t>
  </si>
  <si>
    <t xml:space="preserve">لمى بن مريحة</t>
  </si>
  <si>
    <t xml:space="preserve">Lama Bin Muryihah</t>
  </si>
  <si>
    <t xml:space="preserve">ليان العامري</t>
  </si>
  <si>
    <t xml:space="preserve">Layan Alameri</t>
  </si>
  <si>
    <t xml:space="preserve">محمد الشايقي</t>
  </si>
  <si>
    <t xml:space="preserve">Mohammed Alshaigi</t>
  </si>
  <si>
    <t xml:space="preserve">https://github.com/Mohammed-07th</t>
  </si>
  <si>
    <t xml:space="preserve">README: «Completed as the capstone project for Modern Data Engineering for AI Systems, SDAIA Academy» — عمل فردي — https://github.com/Mohammed-07th/hajj-crowd-ops-platform</t>
  </si>
  <si>
    <t xml:space="preserve">منيرة المجل</t>
  </si>
  <si>
    <t xml:space="preserve">Muneera Almojel</t>
  </si>
  <si>
    <t xml:space="preserve">https://github.com/muneeran285-dev/Student-Dropout-Data-Pipeline</t>
  </si>
  <si>
    <t xml:space="preserve">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 — https://github.com/muneeran285-dev</t>
  </si>
  <si>
    <t xml:space="preserve">نواف السياري</t>
  </si>
  <si>
    <t xml:space="preserve">Nawaf Alsayari</t>
  </si>
  <si>
    <t xml:space="preserve">هذال السبيعي</t>
  </si>
  <si>
    <t xml:space="preserve">Hathal Alsubaie</t>
  </si>
  <si>
    <t xml:space="preserve">هيفاء أحمد السلمي</t>
  </si>
  <si>
    <t xml:space="preserve">Haifa Ahmed Alsulami</t>
  </si>
  <si>
    <t xml:space="preserve">https://github.com/haifaahmed772-code</t>
  </si>
  <si>
    <t xml:space="preserve">سجل مضاف في المسح العلني الموسّع (أغسطس 2026). التخصص: هندسة البيانات (Kafka, Delta Lake, RAG, Airflow). الدليل: مشروع تخرج (Capstone) لبرنامج SDAIA Academy — Modern Data Engineering for AI Systems — https://github.com/haifaahmed772-code/capstone-data-engineering-cats</t>
  </si>
  <si>
    <t xml:space="preserve">أسيل الخديدي</t>
  </si>
  <si>
    <t xml:space="preserve">Aseel AlKhadaidi</t>
  </si>
  <si>
    <t xml:space="preserve">ممارس تعلم الآلة</t>
  </si>
  <si>
    <t xml:space="preserve">https://github.com/xAseelx/Sdaia-ML-Bootcamp</t>
  </si>
  <si>
    <t xml:space="preserve">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</si>
  <si>
    <t xml:space="preserve">حصة سعد</t>
  </si>
  <si>
    <t xml:space="preserve">Hissah Saad</t>
  </si>
  <si>
    <t xml:space="preserve">https://github.com/HSKdeveloper/ML-Project</t>
  </si>
  <si>
    <t xml:space="preserve">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 — https://github.com/HSKdeveloper/student-extra-ex</t>
  </si>
  <si>
    <t xml:space="preserve">سعد الحربي</t>
  </si>
  <si>
    <t xml:space="preserve">Saad Alharbi</t>
  </si>
  <si>
    <t xml:space="preserve">2024</t>
  </si>
  <si>
    <t xml:space="preserve">https://www.linkedin.com/in/saad-alharbi-73453b221/</t>
  </si>
  <si>
    <t xml:space="preserve">منشور شخصي (تم التحقق بالمتصفح 8 أغسطس 2026): «I have successfully completed the Machine Learning Practitioner certification from SDAIA»</t>
  </si>
  <si>
    <t xml:space="preserve">سكينه جعفر علي الرمضان</t>
  </si>
  <si>
    <t xml:space="preserve">Sukainah Alramadhan</t>
  </si>
  <si>
    <t xml:space="preserve">التدريب الاحترافي في النماذج اللغوية الكبيرة + ممارس تعلم الآلة</t>
  </si>
  <si>
    <t xml:space="preserve">https://www.linkedin.com/in/sukainah-alramadhan/</t>
  </si>
  <si>
    <t xml:space="preserve">منشور شخصي (تم التحقق بالمتصفح 8 أغسطس 2026): «NVIDIA Certified Associate in Generative AI LLMs! Earned through the SDAIA Generative AI Academy… ✅ SDAIA Professional Program Certificate ✅ NCA-GENL» + العنوان الشخصي «Machine Learning Practitioner (SDAIA)»</t>
  </si>
  <si>
    <t xml:space="preserve">عبدالله العويد</t>
  </si>
  <si>
    <t xml:space="preserve">Abdullah Alowayyid</t>
  </si>
  <si>
    <t xml:space="preserve">2023</t>
  </si>
  <si>
    <t xml:space="preserve">https://www.linkedin.com/in/abdullah-alowayid/</t>
  </si>
  <si>
    <t xml:space="preserve">تطابق مستقل بين بيانات الأكاديمية والمقتطف العام لملفه (SITE، جامعة القصيم، الرياض) — توثيق مرتفع للوظيفة والجامعة. بكالوريوس تقنية معلومات، جامعة القصيم (2023).</t>
  </si>
  <si>
    <t xml:space="preserve">عبدالله المعضي</t>
  </si>
  <si>
    <t xml:space="preserve">Abdullah Al Muaddi</t>
  </si>
  <si>
    <t xml:space="preserve">https://github.com/Abdullah-Al-Muaddi</t>
  </si>
  <si>
    <t xml:space="preserve">سجل مضاف في المسح العلني الموسّع (أغسطس 2026). التخصص: Machine Learning, EDA. الدليل: SDAIA-ML-Bootcamp — completed multiple assignments and expanded my code to enhance accuracy and enhance my understanding of machine learning techniques — https://github.com/Abdullah-Al-Muaddi/SDAIA-ML-Bootcamp</t>
  </si>
  <si>
    <t xml:space="preserve">فاطمة محمد الزهراني</t>
  </si>
  <si>
    <t xml:space="preserve">Fatimah Mohammed Alzahrani</t>
  </si>
  <si>
    <t xml:space="preserve">https://github.com/FatimaALzahrani</t>
  </si>
  <si>
    <t xml:space="preserve">سجل مضاف في المسح العلني الموسّع (أغسطس 2026). التخصص: Machine Learning, AI research. الدليل: Machine-Learning-Bootcamp15_SDAIA — profile states participation in Machine Learning Bootcamp 15 through SDAIA — https://github.com/FatimaALzahrani/Machine-Learning-Bootcamp15_SDAIA</t>
  </si>
  <si>
    <t xml:space="preserve">لولوة مدير</t>
  </si>
  <si>
    <t xml:space="preserve">Luluwa Modeer</t>
  </si>
  <si>
    <t xml:space="preserve">https://github.com/LuluwaM</t>
  </si>
  <si>
    <t xml:space="preserve">سجل مضاف في المسح العلني الموسّع (أغسطس 2026). التخصص: تعلم الآلة / Machine Learning. الدليل: # BootCamp-ML-SDAIA — Machine Learning BootCamp from SDAIA — https://github.com/LuluwaM/BootCamp-ML-SDAIA</t>
  </si>
  <si>
    <t xml:space="preserve">لينا عسكر</t>
  </si>
  <si>
    <t xml:space="preserve">Lina Askar</t>
  </si>
  <si>
    <t xml:space="preserve">https://github.com/Lina-Askar</t>
  </si>
  <si>
    <t xml:space="preserve">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 — https://github.com/Lina-Askar/sdaia-ml-bootcamp-project</t>
  </si>
  <si>
    <t xml:space="preserve">ناصر القحطاني</t>
  </si>
  <si>
    <t xml:space="preserve">Nasser Alqahtani</t>
  </si>
  <si>
    <t xml:space="preserve">معسكر سدايا T5 + ممارس تعلم الآلة</t>
  </si>
  <si>
    <t xml:space="preserve">https://github.com/nasseralq/Coffee_Bean_classification</t>
  </si>
  <si>
    <t xml:space="preserve">سجل مضاف في المسح العلني الموسّع (أغسطس 2026). التخصص: تعلم الآلة / التصنيف. الدليل: The third project at SDAIA bootcamp T5 , data science, artificial intelligence, machine learning — Team: Eng. Nasser Alqahtani, Mohammed Alzabyedi — https://github.com/nasseralq</t>
  </si>
  <si>
    <t xml:space="preserve">سحاب المطلق</t>
  </si>
  <si>
    <t xml:space="preserve">Sahab Al Mutlaq</t>
  </si>
  <si>
    <t xml:space="preserve">التدريب الاحترافي في النماذج اللغوية الكبيرة</t>
  </si>
  <si>
    <t xml:space="preserve">2026 (الإتمام: أغسطس 2026)</t>
  </si>
  <si>
    <t xml:space="preserve">https://www.linkedin.com/in/sahab-al-mutlaq-961162374</t>
  </si>
  <si>
    <t xml:space="preserve">https://github.com/itsahab01</t>
  </si>
  <si>
    <t xml:space="preserve">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 — https://linktr.ee/itsahab1</t>
  </si>
  <si>
    <t xml:space="preserve">عبدالعزيز التميري</t>
  </si>
  <si>
    <t xml:space="preserve">Abdulaziz Al-Thumairy</t>
  </si>
  <si>
    <t xml:space="preserve">https://www.linkedin.com/in/abdulaziz-al-thumairy/</t>
  </si>
  <si>
    <t xml:space="preserve">العمل في PIF مؤكد عبر المقتطف العام لملفه. بكالوريوس علوم حاسب — جامعة المجمعة (2023). شارك في تنظيم فعالية PIF Digital &amp; Technology Leaders Offsite 2026 بستاد لوسيل.</t>
  </si>
  <si>
    <t xml:space="preserve">Abdulaziz Alothman</t>
  </si>
  <si>
    <t xml:space="preserve">معسكر سدايا T5</t>
  </si>
  <si>
    <t xml:space="preserve">https://github.com/2xazo</t>
  </si>
  <si>
    <t xml:space="preserve">سجل مضاف في المسح العلني الموسّع (أغسطس 2026). الدليل: Owns 'SDAIAI-T5-BOOTCAMP-WEAK1-Project' plus SDAIA-Weak2/3/4/5 weekly bootcamp repos. Profile display name 'Abdulaziz Alothman', bio 'Ai student'. — https://github.com/2xazo/SDAIAI-T5-BOOTCAMP-WEAK1-Project</t>
  </si>
  <si>
    <t xml:space="preserve">Abdulaziz Alsidais</t>
  </si>
  <si>
    <t xml:space="preserve">https://github.com/azooz1422</t>
  </si>
  <si>
    <t xml:space="preserve">سجل مضاف في المسح العلني الموسّع (أغسطس 2026). الدليل: Repo description: 'T5 bootcamp offered by sdaia'. Profile display name 'Abdulaziz Alsidais'. — https://github.com/azooz1422/t5_bootcamp</t>
  </si>
  <si>
    <t xml:space="preserve">Abdulrahman Al-Sallum</t>
  </si>
  <si>
    <t xml:space="preserve">https://www.linkedin.com/in/abdulrahman-al-sallum/</t>
  </si>
  <si>
    <t xml:space="preserve">https://github.com/Dalsallum</t>
  </si>
  <si>
    <t xml:space="preserve">سجل مضاف في المسح العلني الموسّع (أغسطس 2026). الدليل: Repo 'T5-bootcamp' described 'All T5 bootcamp repos'. Profile: Abdulrahman Al-Sallum, 'Electronics Engineer - Python Programmer | AI and Machine Learning', Riyadh. — https://github.com/Dalsallum/T5-bootcamp</t>
  </si>
  <si>
    <t xml:space="preserve">Abeer Alruwayti</t>
  </si>
  <si>
    <t xml:space="preserve">https://github.com/abeer-saleh</t>
  </si>
  <si>
    <t xml:space="preserve">سجل مضاف في المسح العلني الموسّع (أغسطس 2026). الدليل: Repo description: 'EDA project for SDAIA T5 bootcamp'. Profile display name 'abeer alruwayti', Riyadh, Saudi Arabia. — https://github.com/abeer-saleh/EDA_Project</t>
  </si>
  <si>
    <t xml:space="preserve">Aljawhara Alsultan</t>
  </si>
  <si>
    <t xml:space="preserve">https://www.linkedin.com/in/aljawhara-alsultan-88356562</t>
  </si>
  <si>
    <t xml:space="preserve">https://github.com/Aljawhara-CS</t>
  </si>
  <si>
    <t xml:space="preserve">سجل مضاف في المسح العلني الموسّع (أغسطس 2026). الدليل: Repo description: 'This repo is one of the T5 Bootcamp requirements.' Profile: Aljawhara Alsultan, Saudi Arabia. — https://github.com/Aljawhara-CS/Proposal</t>
  </si>
  <si>
    <t xml:space="preserve">Amal AlThaqafi</t>
  </si>
  <si>
    <t xml:space="preserve">https://github.com/iamal95</t>
  </si>
  <si>
    <t xml:space="preserve">سجل مضاف في المسح العلني الموسّع (أغسطس 2026). الدليل: Repo description: 'EDA project for T5 bootcamp SDAIA Academy'. GitHub profile bio: 'Junior Data Scientist at SDAIA Academy. Bachelor in Computer Engineering.' — https://github.com/iamal95/Explore-ML-DS-kaggle-surveys-2020-2021-Saudi-Arabia</t>
  </si>
  <si>
    <t xml:space="preserve">Aml Abdullah Alrefaie</t>
  </si>
  <si>
    <t xml:space="preserve">https://github.com/amalAlrefaie</t>
  </si>
  <si>
    <t xml:space="preserve">سجل مضاف في المسح العلني الموسّع (أغسطس 2026). الدليل: Repo description: 'This project is one of the T5 Bootcamp requirements it's talking about CVE'. Profile: Aml Abdullah Alrefaie, 'Cyber Security master student', KAU, Jeddah. — https://github.com/amalAlrefaie/project</t>
  </si>
  <si>
    <t xml:space="preserve">Amnah Aldayri</t>
  </si>
  <si>
    <t xml:space="preserve">https://github.com/Amnah-Aldayri</t>
  </si>
  <si>
    <t xml:space="preserve">سجل مضاف في المسح العلني الموسّع (أغسطس 2026). الدليل: Owns repo 'T5-Data-Science-Bootcamp' described 'T5 Data Science Bootcamp - Project'. Profile: Amnah Aldayri, Riyadh, 'Information Technology programmer, interested in AI'. — https://github.com/Amnah-Aldayri/T5-Data-Science-Bootcamp</t>
  </si>
  <si>
    <t xml:space="preserve">Atheer Alzahrani</t>
  </si>
  <si>
    <t xml:space="preserve">https://www.linkedin.com/in/atheer-alzahrani-b15b96265</t>
  </si>
  <si>
    <t xml:space="preserve">https://github.com/AtheerAlzhrani</t>
  </si>
  <si>
    <t xml:space="preserve">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 — https://github.com/AtheerAlzhrani/sign-language-recognition-project--Public</t>
  </si>
  <si>
    <t xml:space="preserve">Dania Fallata</t>
  </si>
  <si>
    <t xml:space="preserve">https://github.com/Dania-fallata</t>
  </si>
  <si>
    <t xml:space="preserve">سجل مضاف في المسح العلني الموسّع (أغسطس 2026). الدليل: Repo description: 'final project for T5 bootcamp, a sign language recognition app using python, Mediapipe and RNN model'. Profile: Dania Fallata, 'data scientist'. — https://github.com/Dania-fallata/sign-language-recognition-project-</t>
  </si>
  <si>
    <t xml:space="preserve">Dina Bokhamseen</t>
  </si>
  <si>
    <t xml:space="preserve">https://www.linkedin.com/in/dina-bokhamseen-a6a50727a</t>
  </si>
  <si>
    <t xml:space="preserve">https://github.com/dinag50</t>
  </si>
  <si>
    <t xml:space="preserve">سجل مضاف في المسح العلني الموسّع (أغسطس 2026). الدليل: Repo description: 'T5 Bootcamp Final Capstone Project' (Saudi Solar Vision). Profile: Dina Bokhamseen, 'Jr. Data Scientist'. — https://github.com/dinag50/Saudi_Solar_Vision_Project</t>
  </si>
  <si>
    <t xml:space="preserve">Jawaher Alfaifi</t>
  </si>
  <si>
    <t xml:space="preserve">https://github.com/sara2alharbi/GreenGuard_CapstoneProject_T5</t>
  </si>
  <si>
    <t xml:space="preserve">سجل مضاف في المسح العلني الموسّع (أغسطس 2026). الدليل: GreenGuard capstone README Team Members list includes 'Jawaher Alfaifi'; project developed during the 'SDAIA T5 bootcamp'.</t>
  </si>
  <si>
    <t xml:space="preserve">Kholood Alhejori</t>
  </si>
  <si>
    <t xml:space="preserve">https://github.com/kholoodr</t>
  </si>
  <si>
    <t xml:space="preserve">سجل مضاف في المسح العلني الموسّع (أغسطس 2026). الدليل: Repo description: 'This Project is for the project of T5 Bootcamp requirements.' Profile: Kholood Alhejori, MSc Computer Science, Saudi Arabia. — https://github.com/kholoodr/Data-Science-Bootcamp</t>
  </si>
  <si>
    <t xml:space="preserve">Leena AlQasem</t>
  </si>
  <si>
    <t xml:space="preserve">https://www.linkedin.com/in/leena-alqasem-08996519b/</t>
  </si>
  <si>
    <t xml:space="preserve">https://github.com/LeenaAAlQasem</t>
  </si>
  <si>
    <t xml:space="preserve">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</si>
  <si>
    <t xml:space="preserve">Manar Khamees</t>
  </si>
  <si>
    <t xml:space="preserve">https://github.com/Manar-k</t>
  </si>
  <si>
    <t xml:space="preserve">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 https://github.com/Manar-k/T5-Capstone-Project-Medad</t>
  </si>
  <si>
    <t xml:space="preserve">Nouf Alsaeed</t>
  </si>
  <si>
    <t xml:space="preserve">https://www.linkedin.com/in/noufalsaeed</t>
  </si>
  <si>
    <t xml:space="preserve">https://github.com/NoufAlsaeed</t>
  </si>
  <si>
    <t xml:space="preserve">سجل مضاف في المسح العلني الموسّع (أغسطس 2026). الدليل: Owns 'Classification-Project-T5-bootamp', 'linear-regression-T5-bootcamp' ('as part of T5 Bootcamp, Arwa and I built linear regression models'), 'EDA-MTA-T5bootcamp'. Profile: Nouf Alsaeed, Riyadh. — https://github.com/NoufAlsaeed/Classification-Project-T5-bootamp</t>
  </si>
  <si>
    <t xml:space="preserve">Noura Alnassar</t>
  </si>
  <si>
    <t xml:space="preserve">https://www.linkedin.com/in/noura-alnassar-57b303265</t>
  </si>
  <si>
    <t xml:space="preserve">https://github.com/Nouraibn</t>
  </si>
  <si>
    <t xml:space="preserve">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 — https://github.com/Nouraibn/WasteFireDetection</t>
  </si>
  <si>
    <t xml:space="preserve">Raghad Aladawi</t>
  </si>
  <si>
    <t xml:space="preserve">https://github.com/RazanKhAlhasan/Naqi</t>
  </si>
  <si>
    <t xml:space="preserve">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</si>
  <si>
    <t xml:space="preserve">Raghad Salem</t>
  </si>
  <si>
    <t xml:space="preserve">https://www.linkedin.com/in/raghadware</t>
  </si>
  <si>
    <t xml:space="preserve">https://github.com/raghadware</t>
  </si>
  <si>
    <t xml:space="preserve">سجل مضاف في المسح العلني الموسّع (أغسطس 2026). الدليل: Repo description: 'Saudi Solar Vision - T5 bootcamp capstone project' (same capstone team as Dina Bokhamseen). Profile: Raghad Salem, Data Analyst, Saudi Arabia. — https://github.com/raghadware/solar_energy_capstone_project</t>
  </si>
  <si>
    <t xml:space="preserve">Rahaf Alluqmani</t>
  </si>
  <si>
    <t xml:space="preserve">https://www.linkedin.com/in/rahaf-alluqmani-871b81244</t>
  </si>
  <si>
    <t xml:space="preserve">https://github.com/RahafLog</t>
  </si>
  <si>
    <t xml:space="preserve">سجل مضاف في المسح العلني الموسّع (أغسطس 2026). الدليل: Repo description: 'This project is one of the projects that I worked on T5 bootcamp'. Profile: Rahaf Alluqmani, KSA, 'Passionate about AI and Data science'. — https://github.com/RahafLog/Sentiment_Analysis_from_Tweets</t>
  </si>
  <si>
    <t xml:space="preserve">Rahaf Alzahrani</t>
  </si>
  <si>
    <t xml:space="preserve">https://www.linkedin.com/in/rahaf-alzahrani-561297217</t>
  </si>
  <si>
    <t xml:space="preserve">https://github.com/rhf24</t>
  </si>
  <si>
    <t xml:space="preserve">سجل مضاف في المسح العلني الموسّع (أغسطس 2026). الدليل: Owns repo 'sdaia_T5' described 'Intensive educational programs to build national capabilities proficient in developing AI'. Profile display name 'Rahaf Alzahrani'. — https://github.com/rhf24/sdaia_T5</t>
  </si>
  <si>
    <t xml:space="preserve">Rawan Almoghamis</t>
  </si>
  <si>
    <t xml:space="preserve">https://github.com/Manar-k/T5-Capstone-Project-Medad</t>
  </si>
  <si>
    <t xml:space="preserve">سجل مضاف في المسح العلني الموسّع (أغسطس 2026). الدليل: Medad capstone README lists team: Rawan Almoghamis, Manar Khamees, Sara Albogami, Asma Ali, Taghreed A; described as 'Data Science and Artificial Intelligence T5 Bootcamp' capstone.</t>
  </si>
  <si>
    <t xml:space="preserve">Razan Alhasan</t>
  </si>
  <si>
    <t xml:space="preserve">https://github.com/RazanKhAlhasan</t>
  </si>
  <si>
    <t xml:space="preserve">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 — https://github.com/RazanKhAlhasan/Naqi</t>
  </si>
  <si>
    <t xml:space="preserve">Sara Albogami</t>
  </si>
  <si>
    <t xml:space="preserve">Sara Alharbi</t>
  </si>
  <si>
    <t xml:space="preserve">https://www.linkedin.com/in/sara-alharbi-2243751b2</t>
  </si>
  <si>
    <t xml:space="preserve">https://github.com/sara2alharbi</t>
  </si>
  <si>
    <t xml:space="preserve">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 — https://github.com/sara2alharbi/GreenGuard_CapstoneProject_T5</t>
  </si>
  <si>
    <t xml:space="preserve">Sarah Aldakhi</t>
  </si>
  <si>
    <t xml:space="preserve">Shaima Alabedi</t>
  </si>
  <si>
    <t xml:space="preserve">https://github.com/shaimaalabedi</t>
  </si>
  <si>
    <t xml:space="preserve">سجل مضاف في المسح العلني الموسّع (أغسطس 2026). الدليل: Owns repos 2,4,5 each described 'Project(N) for T5 Data Science Bootcamp - SDAIA Academy'. Profile display name 'Shaima Alabedi'. — https://github.com/shaimaalabedi/Regression_NYC-Taxi-Trip-Duration</t>
  </si>
  <si>
    <t xml:space="preserve">Shumukh Alsulami</t>
  </si>
  <si>
    <t xml:space="preserve">https://github.com/XSH99</t>
  </si>
  <si>
    <t xml:space="preserve">سجل مضاف في المسح العلني الموسّع (أغسطس 2026). الدليل: Owns repo 'SDAIA-T5-Camps-Data-Science'. Profile display name 'Shumukh Alsulami'. — https://github.com/XSH99/SDAIA-T5-Camps-Data-Science</t>
  </si>
  <si>
    <t xml:space="preserve">Tahani Mudhhi Al-rashidi</t>
  </si>
  <si>
    <t xml:space="preserve">https://www.linkedin.com/in/tahani-al-rashidi-8963aa279</t>
  </si>
  <si>
    <t xml:space="preserve">https://github.com/Tahani344</t>
  </si>
  <si>
    <t xml:space="preserve">سجل مضاف في المسح العلني الموسّع (أغسطس 2026). الدليل: Owns repo 'T5Bootcamp-Data-Science-and-Artifical-intelligence-in-SDAIA'. Profile bio: 'Fresh graduate computer science and AI track at MU, Coop training at SDAIA | Machine learning | Data analyst...', Riyadh. — https://github.com/Tahani344/T5Bootcamp-Data-Science-and-Artifical-intelligence-in-SDAIA</t>
  </si>
  <si>
    <t xml:space="preserve">Wafa Saif ALDABAHI</t>
  </si>
  <si>
    <t xml:space="preserve">https://github.com/WafaSaif</t>
  </si>
  <si>
    <t xml:space="preserve">سجل مضاف في المسح العلني الموسّع (أغسطس 2026). الدليل: Owns repo 'Sahel' described 'T5-Capstone Project'. Profile: Wafa Saif ALDABAHI, Riyadh, 'MSc Computer Scientist specializing in cybersecurity, digital forensics, and data-driven ML'. — https://github.com/WafaSaif/Sahel</t>
  </si>
  <si>
    <t xml:space="preserve">Yazeed Alshurify</t>
  </si>
  <si>
    <t xml:space="preserve">https://github.com/Yazeedssh</t>
  </si>
  <si>
    <t xml:space="preserve">سجل مضاف في المسح العلني الموسّع (أغسطس 2026). الدليل: GreenGuard capstone README Team Members: 'Yazeed Alshurify (@Yazeedssh)'; README states the project was developed during the 'SDAIA T5 bootcamp'. — https://github.com/sara2alharbi/GreenGuard_CapstoneProject_T5</t>
  </si>
  <si>
    <t xml:space="preserve">أثير الكثيري</t>
  </si>
  <si>
    <t xml:space="preserve">Atheer Alkthiri</t>
  </si>
  <si>
    <t xml:space="preserve">https://www.linkedin.com/in/atheer-alkthiri-b9294a278</t>
  </si>
  <si>
    <t xml:space="preserve">سجل مضاف في المسح العلني الموسّع (أغسطس 2026). التخصص: Data Science / AI. الدليل: Title: "Data Science and Artificial Intelligence T5 Bootcamp at Sdaia", 2023-present — https://www.zoominfo.com/p/Atheer-Alkthiri/10746826484</t>
  </si>
  <si>
    <t xml:space="preserve">أجواد المجنوني</t>
  </si>
  <si>
    <t xml:space="preserve">Ajwad Almajnuni</t>
  </si>
  <si>
    <t xml:space="preserve">2021</t>
  </si>
  <si>
    <t xml:space="preserve">https://github.com/Mashael2030/TLC-Trip-Taxi-Regression-Techniques</t>
  </si>
  <si>
    <t xml:space="preserve">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</si>
  <si>
    <t xml:space="preserve">أفنان السرحاني</t>
  </si>
  <si>
    <t xml:space="preserve">Afnan Alsirhani</t>
  </si>
  <si>
    <t xml:space="preserve">https://github.com/wafaa-al/CreditCard-Fraud-Detection-Classification</t>
  </si>
  <si>
    <t xml:space="preserve">سجل مضاف في المسح العلني الموسّع (أغسطس 2026). التخصص: التصنيف وكشف الاحتيال (Classification / Fraud Detection). الدليل: SDAIA T5 Data Science Bootcamp … Done By: [Wafaa Alharbi] &amp; [Afnan Alsirhani] — https://github.com/AfnanAlsirhani</t>
  </si>
  <si>
    <t xml:space="preserve">أمجاد الثنيان</t>
  </si>
  <si>
    <t xml:space="preserve">Amjad Althinyyan</t>
  </si>
  <si>
    <t xml:space="preserve">https://github.com/amjadalth</t>
  </si>
  <si>
    <t xml:space="preserve">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 — https://github.com/emanalshehrii/Hotel-Reviews-Unsupervised-NLP-Project</t>
  </si>
  <si>
    <t xml:space="preserve">أمل التمران</t>
  </si>
  <si>
    <t xml:space="preserve">Amal Altamran</t>
  </si>
  <si>
    <t xml:space="preserve">https://github.com/amal2121</t>
  </si>
  <si>
    <t xml:space="preserve">سجل مضاف في المسح العلني الموسّع (أغسطس 2026). التخصص: التعلم العميق / NLP والتجميع. الدليل: ## SDAIA Academy Bootcamp T5 | Deep Learning Project ... ## By: - Amal Altamran (github.com/amal2121) — https://github.com/NoBaSh-DS/Deep-Learning-Project</t>
  </si>
  <si>
    <t xml:space="preserve">أميرة العتيبي</t>
  </si>
  <si>
    <t xml:space="preserve">Amirah Alotaibi</t>
  </si>
  <si>
    <t xml:space="preserve">https://github.com/amirahSaad</t>
  </si>
  <si>
    <t xml:space="preserve">سجل مضاف في المسح العلني الموسّع (أغسطس 2026). التخصص: التعلم العميق / توليد وصف الصور. الدليل: ## SDAIA Academy Bootcamp T5 | Deep Learning Project ... ## By: - Amirah Alotaibi (github.com/amirahSaad) — https://github.com/NoBaSh-DS/Deep-Learning-Project</t>
  </si>
  <si>
    <t xml:space="preserve">إيمان البركة</t>
  </si>
  <si>
    <t xml:space="preserve">Eman Albarakah</t>
  </si>
  <si>
    <t xml:space="preserve">https://github.com/Eeeemsa</t>
  </si>
  <si>
    <t xml:space="preserve">سجل مضاف في المسح العلني الموسّع (أغسطس 2026). التخصص: معالجة اللغات الطبيعية. الدليل: Repo description: 'Project(4) for T5 Data Science Bootcamp - SDAIA Academy'; README '## Team Members ... - @Eman Albarakah (github.com/Eeeemsa)' — https://github.com/shaimaalabedi/Unsupervised_NLP-Drug-Review</t>
  </si>
  <si>
    <t xml:space="preserve">العنود الحسين</t>
  </si>
  <si>
    <t xml:space="preserve">Alanoud Alhussain</t>
  </si>
  <si>
    <t xml:space="preserve">https://github.com/Alanoud-Aziz</t>
  </si>
  <si>
    <t xml:space="preserve">سجل مضاف في المسح العلني الموسّع (أغسطس 2026). التخصص: التعلم العميق / توليد وصف الصور. الدليل: ## SDAIA Academy Bootcamp T5 | Deep Learning Project ... ## By: - Alanoud Alhussain (github.com/Alanoud-Aziz) — https://github.com/NoBaSh-DS/Deep-Learning-Project</t>
  </si>
  <si>
    <t xml:space="preserve">النيرة القحطاني</t>
  </si>
  <si>
    <t xml:space="preserve">Alnirah Alqahtani</t>
  </si>
  <si>
    <t xml:space="preserve">https://github.com/AlnirahM</t>
  </si>
  <si>
    <t xml:space="preserve">سجل مضاف في المسح العلني الموسّع (أغسطس 2026). التخصص: علوم البيانات والتصنيف / Data Science, Classification. الدليل: SDAIA T5 Data Science Bootcamp Classification Project — https://github.com/AlnirahM/Classification-Project</t>
  </si>
  <si>
    <t xml:space="preserve">بتول العصيمي</t>
  </si>
  <si>
    <t xml:space="preserve">Batoul AlOsaimi</t>
  </si>
  <si>
    <t xml:space="preserve">https://www.linkedin.com/in/batoulalosaimi/</t>
  </si>
  <si>
    <t xml:space="preserve">https://github.com/batoull22</t>
  </si>
  <si>
    <t xml:space="preserve">سجل مضاف في المسح العلني الموسّع (أغسطس 2026). التخصص: التصنيف / التعلم العميق. الدليل: ## SDAIA Academy Bootcamp T5 | Deep Learning Project ... ## By: - Batoul AlOsaimi (github.com/batoull22) — https://github.com/NoBaSh-DS/Deep-Learning-Project</t>
  </si>
  <si>
    <t xml:space="preserve">تغريد البعيز</t>
  </si>
  <si>
    <t xml:space="preserve">Taghreed Albaiz</t>
  </si>
  <si>
    <t xml:space="preserve">https://github.com/wfa94/Deep-Learning</t>
  </si>
  <si>
    <t xml:space="preserve">سجل مضاف في المسح العلني الموسّع (أغسطس 2026). التخصص: التعلم العميق / Deep Learning. الدليل: The Final project - T5 Data Science Bootcamp — By: Wafa Albattah / Taghreed Albaiz / Leena Alshwaihi — https://github.com/talbaiz/Deep-Learning</t>
  </si>
  <si>
    <t xml:space="preserve">جميلة الحربي</t>
  </si>
  <si>
    <t xml:space="preserve">Jamila Alharbi</t>
  </si>
  <si>
    <t xml:space="preserve">https://github.com/jameela-masar</t>
  </si>
  <si>
    <t xml:space="preserve">سجل مضاف في المسح العلني الموسّع (أغسطس 2026). التخصص: Classification, NLP (unsupervised), Regression / web scraping. الدليل: Multiple repositories titled T5-SDAIA-* (T5-SDAIA-Classification-Miscarriage, T5-SDAIA-NLP-Unsupervised, T5-SDAIA-Regrassion-Web-scraping) — https://github.com/jameela-masar/T5-SDAIA-Classification-Miscarriage</t>
  </si>
  <si>
    <t xml:space="preserve">حصة الرشيد</t>
  </si>
  <si>
    <t xml:space="preserve">Hessa AlRasheed</t>
  </si>
  <si>
    <t xml:space="preserve">https://github.com/HessaAlrasheed</t>
  </si>
  <si>
    <t xml:space="preserve">سجل مضاف في المسح العلني الموسّع (أغسطس 2026). التخصص: Data Science / AI. الدليل: "participated in the 'Data Science and Artificial Intelligence T5 Bootcamp at SDAIA' which she completed in December 2023"; Data Analyst at RMG since February 2024 — https://theorg.com/org/renad-al-majd-for-information-technology/org-chart/hessa-alrasheed</t>
  </si>
  <si>
    <t xml:space="preserve">حمد اليمني</t>
  </si>
  <si>
    <t xml:space="preserve">Hamad Alyemni</t>
  </si>
  <si>
    <t xml:space="preserve">https://www.linkedin.com/in/hamad-alyemni</t>
  </si>
  <si>
    <t xml:space="preserve">https://github.com/hsyemni99</t>
  </si>
  <si>
    <t xml:space="preserve">سجل مضاف في المسح العلني الموسّع (أغسطس 2026). التخصص: Data Science / AI. الدليل: "participated in the SDAIA T5 Data Science and Artificial Intelligence Bootcamp" (2023); AI Engineer at GeoTech 2024-present — https://www.zoominfo.com/p/Hamad-Alyemni/8823269392</t>
  </si>
  <si>
    <t xml:space="preserve">خالد الدويسان</t>
  </si>
  <si>
    <t xml:space="preserve">Khaled Alduwaysan</t>
  </si>
  <si>
    <t xml:space="preserve">يوليو–أكتوبر 2024</t>
  </si>
  <si>
    <t xml:space="preserve">https://github.com/Duwaysan</t>
  </si>
  <si>
    <t xml:space="preserve">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 https://github.com/NasserAlsaqer/Detect-Violated-Motorbikes-Delivery-RASYD</t>
  </si>
  <si>
    <t xml:space="preserve">خلود الشهري</t>
  </si>
  <si>
    <t xml:space="preserve">Kholod Alshehri</t>
  </si>
  <si>
    <t xml:space="preserve">https://github.com/kholod2</t>
  </si>
  <si>
    <t xml:space="preserve">سجل مضاف في المسح العلني الموسّع (أغسطس 2026). التخصص: تعلم الآلة / التعلم العميق. الدليل: Hi 👋, I'm Kholod ... 💼 Metis Data Scientist Bootcamp(T5) in SDAIA Academy</t>
  </si>
  <si>
    <t xml:space="preserve">راما المرزوقي</t>
  </si>
  <si>
    <t xml:space="preserve">Rama Almarzuqi</t>
  </si>
  <si>
    <t xml:space="preserve">https://github.com/Rama-Almarzuqi</t>
  </si>
  <si>
    <t xml:space="preserve">سجل مضاف في المسح العلني الموسّع (أغسطس 2026). التخصص: علوم البيانات / Data Science. الدليل: GitHub profile bio (@Rama-Almarzuqi): "Computer Engineer | Data Scientist | Data Science and AI T5 Bootcamp Trainee @SDAIA Academy"</t>
  </si>
  <si>
    <t xml:space="preserve">رتاج عبدالعزيز</t>
  </si>
  <si>
    <t xml:space="preserve">Retaj Abdulazeez</t>
  </si>
  <si>
    <t xml:space="preserve">https://github.com/RetajALAnzai</t>
  </si>
  <si>
    <t xml:space="preserve">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 https://github.com/RetajALAnzai/SDAIA</t>
  </si>
  <si>
    <t xml:space="preserve">رقية عبدالله</t>
  </si>
  <si>
    <t xml:space="preserve">Ruqaiah Abdullah</t>
  </si>
  <si>
    <t xml:space="preserve">https://github.com/ruqaiah22</t>
  </si>
  <si>
    <t xml:space="preserve">سجل مضاف في المسح العلني الموسّع (أغسطس 2026). التخصص: علوم البيانات والانحدار / Data Science, Regression. الدليل: ## Regression Project | T5-Bootcamp-SDAIA — https://github.com/ruqaiah22/Regression_project</t>
  </si>
  <si>
    <t xml:space="preserve">رنا الحرصان</t>
  </si>
  <si>
    <t xml:space="preserve">Rana al-Harsan</t>
  </si>
  <si>
    <t xml:space="preserve">https://www.linkedin.com/in/rana-al-harsan-1792b1257/</t>
  </si>
  <si>
    <t xml:space="preserve">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 — https://www.spa.gov.sa/N2199008</t>
  </si>
  <si>
    <t xml:space="preserve">رنا الزهراني</t>
  </si>
  <si>
    <t xml:space="preserve">Rana Alzahrani</t>
  </si>
  <si>
    <t xml:space="preserve">https://github.com/AbeerAB/Emotion-Detection-using-Deep-Learning</t>
  </si>
  <si>
    <t xml:space="preserve">سجل مضاف في المسح العلني الموسّع (أغسطس 2026). التخصص: التعلم العميق / التصنيف. الدليل: Repo description: 'Project(5) for T5 Data Science Bootcamp - SDAIA Academy'; README '## Team Members * Abeer Almdani * Rana Alzahrani'</t>
  </si>
  <si>
    <t xml:space="preserve">رندا المحمدي</t>
  </si>
  <si>
    <t xml:space="preserve">Randa Almohammadi</t>
  </si>
  <si>
    <t xml:space="preserve">https://www.linkedin.com/in/randa-almohammadi-a33826127</t>
  </si>
  <si>
    <t xml:space="preserve">https://github.com/rmalmoha/T5-ML-Classification-Project</t>
  </si>
  <si>
    <t xml:space="preserve">سجل مضاف في المسح العلني الموسّع (أغسطس 2026). التخصص: تعلم الآلة / التصنيف. الدليل: This is the third project that is done during the T5 data science bootcamp ... Created by: Banan Alhethlool, Randa Almohammadi — https://github.com/rmalmoha</t>
  </si>
  <si>
    <t xml:space="preserve">سعاد الجعفر</t>
  </si>
  <si>
    <t xml:space="preserve">Soaad Aljafr</t>
  </si>
  <si>
    <t xml:space="preserve">https://github.com/SoaadM</t>
  </si>
  <si>
    <t xml:space="preserve">سجل مضاف في المسح العلني الموسّع (أغسطس 2026). التخصص: علوم البيانات / Data Science. الدليل: Holla, I'm Soaad! … ⚡ Junior Data Scientist [@Sdaia_Academy](https://academy.sdaia.gov.sa)</t>
  </si>
  <si>
    <t xml:space="preserve">شيماء الزهراني</t>
  </si>
  <si>
    <t xml:space="preserve">Shaima Alzahrani</t>
  </si>
  <si>
    <t xml:space="preserve">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 https://github.com/shaimaalabedi/Unsupervised_NLP-Drug-Review</t>
  </si>
  <si>
    <t xml:space="preserve">عبدالعزيز الماس</t>
  </si>
  <si>
    <t xml:space="preserve">Abdulaziz Almas</t>
  </si>
  <si>
    <t xml:space="preserve">https://github.com/abdulazizalmass/Stroke_Prediction</t>
  </si>
  <si>
    <t xml:space="preserve">سجل مضاف في المسح العلني الموسّع (أغسطس 2026). التخصص: تعلّم الآلة والتصنيف (ML / Classification). الدليل: This project is one of the T5 Data Science BootCamp requirements … resolved git author name: Abdulaziz Almas</t>
  </si>
  <si>
    <t xml:space="preserve">عبير المدني</t>
  </si>
  <si>
    <t xml:space="preserve">Abeer Almdani</t>
  </si>
  <si>
    <t xml:space="preserve">https://github.com/AbeerAB</t>
  </si>
  <si>
    <t xml:space="preserve">سجل مضاف في المسح العلني الموسّع (أغسطس 2026). التخصص: التعلم العميق / التصنيف. الدليل: Repo description: 'Project(5) for T5 Data Science Bootcamp - SDAIA Academy'; README '## Team Members * Abeer Almdani * Rana Alzahrani' — https://github.com/AbeerAB/Emotion-Detection-using-Deep-Learning</t>
  </si>
  <si>
    <t xml:space="preserve">علياء المنقور</t>
  </si>
  <si>
    <t xml:space="preserve">Alya ALmanqour</t>
  </si>
  <si>
    <t xml:space="preserve">https://github.com/Alya11salem</t>
  </si>
  <si>
    <t xml:space="preserve">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 https://github.com/Alya11salem/EDA.project_Quarterly-Statistical-Report</t>
  </si>
  <si>
    <t xml:space="preserve">عهد المطيري</t>
  </si>
  <si>
    <t xml:space="preserve">Ahad Almutairi</t>
  </si>
  <si>
    <t xml:space="preserve">https://github.com/Ahad1996</t>
  </si>
  <si>
    <t xml:space="preserve">سجل مضاف في المسح العلني الموسّع (أغسطس 2026). التخصص: علوم البيانات / Data Science. الدليل: GitHub profile bio (@Ahad1996): "junior Data Scientist T5 at SDAIA Academy"</t>
  </si>
  <si>
    <t xml:space="preserve">عهود الحربي</t>
  </si>
  <si>
    <t xml:space="preserve">Ohood Alharbi</t>
  </si>
  <si>
    <t xml:space="preserve">https://github.com/Ohood-Alharbi</t>
  </si>
  <si>
    <t xml:space="preserve">سجل مضاف في المسح العلني الموسّع (أغسطس 2026). التخصص: التصنيف / تحليل البيانات. الدليل: SDAIA T5 Data Science Bootcamp Classfication Project by ... ## Prepared by * Mashael Asiri * Ohood Alharbi * Nadiah Ajrasiaa — https://github.com/Mashael2030/Diabetes-Health-Indicators-Classfication</t>
  </si>
  <si>
    <t xml:space="preserve">عياد الحربي</t>
  </si>
  <si>
    <t xml:space="preserve">Ayad ALHarbi</t>
  </si>
  <si>
    <t xml:space="preserve">https://github.com/shaimaalabedi/Regression_NYC-Taxi-Trip-Duration</t>
  </si>
  <si>
    <t xml:space="preserve">سجل مضاف في المسح العلني الموسّع (أغسطس 2026). التخصص: الانحدار / تعلم الآلة. الدليل: Repo description: 'Project(2) for T5 Data Science Bootcamp - SDAIA Academy'; README '## Team Members ... - Ayad ALHarbi'</t>
  </si>
  <si>
    <t xml:space="preserve">غادة السبيعي</t>
  </si>
  <si>
    <t xml:space="preserve">Ghada Alsubaie</t>
  </si>
  <si>
    <t xml:space="preserve">https://linkedin.com/in/ghadahalsubaie/</t>
  </si>
  <si>
    <t xml:space="preserve">https://github.com/AlwaleedAlkhdairi/Mustdam</t>
  </si>
  <si>
    <t xml:space="preserve">سجل مضاف في المسح العلني الموسّع (أغسطس 2026). التخصص: علوم البيانات. الدليل: SDAIA T5 Bootcamp - Capstone Project ... ## Team Mustadm - Ghada Alsubaie: Data Collection, Data Modeling, Algorithm Development</t>
  </si>
  <si>
    <t xml:space="preserve">غسان الرحيلي</t>
  </si>
  <si>
    <t xml:space="preserve">Ghassan Alrehaili</t>
  </si>
  <si>
    <t xml:space="preserve">https://www.linkedin.com/in/ghassanalrehaili</t>
  </si>
  <si>
    <t xml:space="preserve">https://github.com/GhassanAlrehaili</t>
  </si>
  <si>
    <t xml:space="preserve">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 — https://github.com/MahaAlHarqan/T5Bootcamp-ML-Regression-for-Capital_Bikeshare</t>
  </si>
  <si>
    <t xml:space="preserve">فهد العمران</t>
  </si>
  <si>
    <t xml:space="preserve">Fahad Alomran</t>
  </si>
  <si>
    <t xml:space="preserve">https://github.com/aofahad</t>
  </si>
  <si>
    <t xml:space="preserve">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 — https://github.com/aofahad/NLP_Project</t>
  </si>
  <si>
    <t xml:space="preserve">لينا الشويحي</t>
  </si>
  <si>
    <t xml:space="preserve">Leena Alshwaihi</t>
  </si>
  <si>
    <t xml:space="preserve">مرام الفيفي</t>
  </si>
  <si>
    <t xml:space="preserve">Maram Alfaifi</t>
  </si>
  <si>
    <t xml:space="preserve">https://www.linkedin.com/in/maram-alfaifi-b787a01b7/</t>
  </si>
  <si>
    <t xml:space="preserve">https://github.com/marama09/Eyes_Disease</t>
  </si>
  <si>
    <t xml:space="preserve">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 — https://github.com/marama09</t>
  </si>
  <si>
    <t xml:space="preserve">مشاعل المسيري</t>
  </si>
  <si>
    <t xml:space="preserve">Meshael Almusairii</t>
  </si>
  <si>
    <t xml:space="preserve">https://github.com/raghadware/solar_energy_capstone_project</t>
  </si>
  <si>
    <t xml:space="preserve">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t>
  </si>
  <si>
    <t xml:space="preserve">مشاعل الناصر</t>
  </si>
  <si>
    <t xml:space="preserve">Mashael Alnasser</t>
  </si>
  <si>
    <t xml:space="preserve">https://github.com/alnassermashael</t>
  </si>
  <si>
    <t xml:space="preserve">سجل مضاف في المسح العلني الموسّع (أغسطس 2026). التخصص: رؤية الحاسب — كشف حرائق النفايات. الدليل: Repo description: 'Capstone T5 project - SDAIA' (owner profile shows name 'Mashael Alnasser') — https://github.com/alnassermashael/Waste-Fire-Detection</t>
  </si>
  <si>
    <t xml:space="preserve">مشاعل عسيري</t>
  </si>
  <si>
    <t xml:space="preserve">Mashael Asiri</t>
  </si>
  <si>
    <t xml:space="preserve">https://github.com/Mashael2030</t>
  </si>
  <si>
    <t xml:space="preserve">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 — https://github.com/Mashael2030/Diabetes-Health-Indicators-Classfication</t>
  </si>
  <si>
    <t xml:space="preserve">مضاوي الهبردي</t>
  </si>
  <si>
    <t xml:space="preserve">Modhi Alhbrdi</t>
  </si>
  <si>
    <t xml:space="preserve">https://github.com/ModiHb</t>
  </si>
  <si>
    <t xml:space="preserve">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 — https://github.com/ModiHb/T5_classification</t>
  </si>
  <si>
    <t xml:space="preserve">منتهى جابر</t>
  </si>
  <si>
    <t xml:space="preserve">Muntaha Jaber</t>
  </si>
  <si>
    <t xml:space="preserve">https://www.linkedin.com/in/muntaha-jaber-3699931a8/</t>
  </si>
  <si>
    <t xml:space="preserve">https://github.com/DmitriiDenisov/sdaia_t5c04_projects</t>
  </si>
  <si>
    <t xml:space="preserve">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 — https://github.com/muntahajaber</t>
  </si>
  <si>
    <t xml:space="preserve">منيرة الزهراني</t>
  </si>
  <si>
    <t xml:space="preserve">Munirah Alzhrani</t>
  </si>
  <si>
    <t xml:space="preserve">https://github.com/MuniraAlzhrani</t>
  </si>
  <si>
    <t xml:space="preserve">سجل مضاف في المسح العلني الموسّع (أغسطس 2026). التخصص: Data Science. الدليل: Data Science Bootcamp T5 at SDAIA Academy (2021-2022); Technical Support Engineer at Afaqy 2023-present — https://www.zoominfo.com/p/Munirah-Alzhrani/13639496670</t>
  </si>
  <si>
    <t xml:space="preserve">نادية الجراسيه</t>
  </si>
  <si>
    <t xml:space="preserve">Nadiah Ajrasiaa</t>
  </si>
  <si>
    <t xml:space="preserve">https://github.com/nadiahajrasiaa</t>
  </si>
  <si>
    <t xml:space="preserve">ناصر الصقر</t>
  </si>
  <si>
    <t xml:space="preserve">Nasser Alsaqer</t>
  </si>
  <si>
    <t xml:space="preserve">أكتوبر 2024</t>
  </si>
  <si>
    <t xml:space="preserve">https://www.linkedin.com/in/nasser-alsaqer/</t>
  </si>
  <si>
    <t xml:space="preserve">https://github.com/NasserAlsaqer</t>
  </si>
  <si>
    <t xml:space="preserve">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 — https://github.com/NasserAlsaqer/Detect-Violated-Motorbikes-Delivery-RASYD</t>
  </si>
  <si>
    <t xml:space="preserve">ناصر القريني</t>
  </si>
  <si>
    <t xml:space="preserve">Nasser Alquraini</t>
  </si>
  <si>
    <t xml:space="preserve">https://github.com/NasserSH12</t>
  </si>
  <si>
    <t xml:space="preserve">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 — https://github.com/shaimaalabedi/Unsupervised_NLP-Drug-Review</t>
  </si>
  <si>
    <t xml:space="preserve">نسرين الصايغ</t>
  </si>
  <si>
    <t xml:space="preserve">Nisreen Alsayegh</t>
  </si>
  <si>
    <t xml:space="preserve">https://github.com/nisreenabdullah6</t>
  </si>
  <si>
    <t xml:space="preserve">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 — https://theorg.com/org/mozn/org-chart/nisreen-alsayegh</t>
  </si>
  <si>
    <t xml:space="preserve">نورة البريدي</t>
  </si>
  <si>
    <t xml:space="preserve">Norah Alburidi</t>
  </si>
  <si>
    <t xml:space="preserve">https://www.linkedin.com/in/nora-alburidi</t>
  </si>
  <si>
    <t xml:space="preserve">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t>
  </si>
  <si>
    <t xml:space="preserve">نورة القحطاني</t>
  </si>
  <si>
    <t xml:space="preserve">Norah Alqahtani</t>
  </si>
  <si>
    <t xml:space="preserve">https://github.com/99norah</t>
  </si>
  <si>
    <t xml:space="preserve">سجل مضاف في المسح العلني الموسّع (أغسطس 2026). التخصص: التعلم العميق. الدليل: ## SDAIA Academy Bootcamp T5 | Deep Learning Project ... ## By: - Norah Alqahtani (github.com/99norah) — https://github.com/NoBaSh-DS/Deep-Learning-Project</t>
  </si>
  <si>
    <t xml:space="preserve">هالة العنزي</t>
  </si>
  <si>
    <t xml:space="preserve">Hala Alenazi</t>
  </si>
  <si>
    <t xml:space="preserve">https://github.com/halaalanzi</t>
  </si>
  <si>
    <t xml:space="preserve">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 — https://github.com/halaalanzi/Face-Detector-Deep-Learning-Project</t>
  </si>
  <si>
    <t xml:space="preserve">وفاء البطاح</t>
  </si>
  <si>
    <t xml:space="preserve">Wafa Albattah</t>
  </si>
  <si>
    <t xml:space="preserve">رند العجمي</t>
  </si>
  <si>
    <t xml:space="preserve">Renad Alajmi</t>
  </si>
  <si>
    <t xml:space="preserve">معسكر النماذج اللغوية الكبيرة</t>
  </si>
  <si>
    <t xml:space="preserve">https://github.com/renad30</t>
  </si>
  <si>
    <t xml:space="preserve">سجل مضاف في المسح العلني الموسّع (أغسطس 2026). التخصص: النماذج اللغوية الكبيرة / Large Language Models. الدليل: here are all the projects i did while i was in SDAIA LLM bootcamp — https://github.com/renad30/SDAIA_LLM_projects</t>
  </si>
  <si>
    <t xml:space="preserve">ريان دحلاوي</t>
  </si>
  <si>
    <t xml:space="preserve">Rayan Dahlawi</t>
  </si>
  <si>
    <t xml:space="preserve">ديسمبر 2023</t>
  </si>
  <si>
    <t xml:space="preserve">https://www.linkedin.com/posts/rayan-dahlawi_llmbootcamp-ai-sdaia-activity-7139361304338710528-fzmC</t>
  </si>
  <si>
    <t xml:space="preserve">⬆️ رُقّي في إصدار 21 يوليو 2026: تقاطع الملف الرسمي للمجتازين مع منشوره الذاتي الموسوم حسم لغز «ALJUF» = عبداللطيف جميل المتحدة للتمويل (وليس جهة بالجوف). انتساب ونتيجة مؤكدان من مصدرين مستقلين.</t>
  </si>
  <si>
    <t xml:space="preserve">سليمان الكربي</t>
  </si>
  <si>
    <t xml:space="preserve">Sulaiman Alkurbi</t>
  </si>
  <si>
    <t xml:space="preserve">https://www.linkedin.com/in/alkurbi-suliman/</t>
  </si>
  <si>
    <t xml:space="preserve">https://github.com/Alkurbi</t>
  </si>
  <si>
    <t xml:space="preserve">سجل مضاف في المسح العلني الموسّع (أغسطس 2026). التخصص: النماذج اللغوية الكبيرة والروبوتات / LLMs, robot navigation, RAG. الدليل: - **Large Language Models Bootcamp** — SDAIA</t>
  </si>
  <si>
    <t xml:space="preserve">صالح الروقي</t>
  </si>
  <si>
    <t xml:space="preserve">Saleh Alrougi</t>
  </si>
  <si>
    <t xml:space="preserve">https://github.com/IDE21</t>
  </si>
  <si>
    <t xml:space="preserve">سجل مضاف في المسح العلني الموسّع (أغسطس 2026). التخصص: النماذج اللغوية الكبيرة / LLM processing. الدليل: SDAIA_LLM_BOOTCAMP_projects — https://github.com/IDE21/LLM-Processing</t>
  </si>
  <si>
    <t xml:space="preserve">مها عبدالجبار ثفار</t>
  </si>
  <si>
    <t xml:space="preserve">Maha Abduljabbar Thafar</t>
  </si>
  <si>
    <t xml:space="preserve">مجموعة أكتوبر</t>
  </si>
  <si>
    <t xml:space="preserve">https://github.com/MahaThafar</t>
  </si>
  <si>
    <t xml:space="preserve">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 — https://tu.edu.sa/En/Computer-Science/243/Pages/21459/Faculty-Members</t>
  </si>
  <si>
    <t xml:space="preserve">ابتسام محمد الزهراني</t>
  </si>
  <si>
    <t xml:space="preserve">Ibtisam M. Alzahrani</t>
  </si>
  <si>
    <t xml:space="preserve">يوليو 2026 (دفعة مطلع يوليو)</t>
  </si>
  <si>
    <t xml:space="preserve">https://github.com/Nadia-143/AI_Knowledge_Lakehouse_Assistant_for_Transport-Logistics</t>
  </si>
  <si>
    <t xml:space="preserve">مسماة بالاسم الثلاثي في README مشروع النقل واللوجستيات (فريق ثلاثي).</t>
  </si>
  <si>
    <t xml:space="preserve">Medium</t>
  </si>
  <si>
    <t xml:space="preserve">الجوهرة القباني</t>
  </si>
  <si>
    <t xml:space="preserve">Aljawharah Alqabbani</t>
  </si>
  <si>
    <t xml:space="preserve">19–23 يوليو 2026</t>
  </si>
  <si>
    <t xml:space="preserve">https://github.com/AljawharahAlqabbani</t>
  </si>
  <si>
    <t xml:space="preserve">مستودع SDAIA-projects — README: «SDAIA Academy — Data Engineering for AI Systems (DAICO)» (23 يوليو 2026). (شخص مختلف عن «الجوهرة Aljwharah-h» و«الجوهرة البهلال» المسجلتين سابقًا.) — https://github.com/AljawharahAlqabbani/SDAIA-projects</t>
  </si>
  <si>
    <t xml:space="preserve">الشيماء الحلافي</t>
  </si>
  <si>
    <t xml:space="preserve">Alshaima Alhalafi</t>
  </si>
  <si>
    <t xml:space="preserve">https://github.com/sdaa24</t>
  </si>
  <si>
    <t xml:space="preserve">مستودع باسم Sdaia_Data_Engineering ينفّذ مواصفات مشروع التخرج نفسها (Kafka/Delta/RAG/Airflow) — الارتباط استنتاجي قوي — https://github.com/sdaa24/Sdaia_Data_Engineering_Food-Delivery-Pipeline.ipynb</t>
  </si>
  <si>
    <t xml:space="preserve">العذوب العصيمي</t>
  </si>
  <si>
    <t xml:space="preserve">Alathoob Alosaimi</t>
  </si>
  <si>
    <t xml:space="preserve">https://github.com/LayanAlomar/Data-Engineering-for-AI-Systems-University-Regulations</t>
  </si>
  <si>
    <t xml:space="preserve">مسماة في README مشروع اللوائح الجامعية (فريق رباعي).</t>
  </si>
  <si>
    <t xml:space="preserve">بسمة الهندي</t>
  </si>
  <si>
    <t xml:space="preserve">Basma Alhindi</t>
  </si>
  <si>
    <t xml:space="preserve">https://github.com/SarahkhIT/DataEngProject</t>
  </si>
  <si>
    <t xml:space="preserve">مسماة في README مشروع DataEngProject (فريق ثلاثي).</t>
  </si>
  <si>
    <t xml:space="preserve">حصة الشدي</t>
  </si>
  <si>
    <t xml:space="preserve">Hessah Alsheddi</t>
  </si>
  <si>
    <t xml:space="preserve">يوليو 2026</t>
  </si>
  <si>
    <t xml:space="preserve">https://github.com/saraalbahlal3/AI-Research-Assistant</t>
  </si>
  <si>
    <t xml:space="preserve">مسماة في README مشروع AI Research Assistant (فريق ثلاثي).</t>
  </si>
  <si>
    <t xml:space="preserve">دانة مساعد الجميعة</t>
  </si>
  <si>
    <t xml:space="preserve">Danah Musaad Aljumaiah</t>
  </si>
  <si>
    <t xml:space="preserve">https://github.com/raneem-a1/Books-data-capstone</t>
  </si>
  <si>
    <t xml:space="preserve">مسماة بالاسم الثلاثي في README مشروع Books-data-capstone.</t>
  </si>
  <si>
    <t xml:space="preserve">رنيم عبدالله الشدي</t>
  </si>
  <si>
    <t xml:space="preserve">Raneem Abdullah Alsheddi</t>
  </si>
  <si>
    <t xml:space="preserve">https://github.com/raneem-a1</t>
  </si>
  <si>
    <t xml:space="preserve">مشروع خط بيانات الكتب — فريق ثلاثي بأسماء كاملة: رنيم الشدي، دانة الجميعة، هيا الجريسي (22–23 يوليو 2026). — https://github.com/raneem-a1/Books-data-capstone</t>
  </si>
  <si>
    <t xml:space="preserve">رهف الفالح</t>
  </si>
  <si>
    <t xml:space="preserve">Rehaf Alfaleh</t>
  </si>
  <si>
    <t xml:space="preserve">روا المحيميد</t>
  </si>
  <si>
    <t xml:space="preserve">Rawaa Almohaimeed</t>
  </si>
  <si>
    <t xml:space="preserve">https://github.com/FtounMohammed/AI_Recruitment</t>
  </si>
  <si>
    <t xml:space="preserve">مسماة في README مشروع AI_Recruitment (فريق ثنائي مع فتون الزنان).</t>
  </si>
  <si>
    <t xml:space="preserve">ريم العمري</t>
  </si>
  <si>
    <t xml:space="preserve">Reem Alamri</t>
  </si>
  <si>
    <t xml:space="preserve">https://github.com/Reem-Alamri/customer-support-intelligence-platform</t>
  </si>
  <si>
    <t xml:space="preserve">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 — https://github.com/Reem-Alamri/customer-support-intelligence-platform-v2</t>
  </si>
  <si>
    <t xml:space="preserve">ريما العيسى</t>
  </si>
  <si>
    <t xml:space="preserve">Reema Alessa</t>
  </si>
  <si>
    <t xml:space="preserve">https://github.com/realessa</t>
  </si>
  <si>
    <t xml:space="preserve">خط بيانات الكهرباء — README: «Trainee: Reema Alessa · Training Program: Modern Data Engineering for AI Systems – SDAIA Academy · 19-07-2026 → 23-07-2026». — https://github.com/realessa/electricity-enginering-</t>
  </si>
  <si>
    <t xml:space="preserve">ريما قبلان</t>
  </si>
  <si>
    <t xml:space="preserve">Reema Qublan</t>
  </si>
  <si>
    <t xml:space="preserve">زياد المنيف</t>
  </si>
  <si>
    <t xml:space="preserve">Ziyad Almoneef</t>
  </si>
  <si>
    <t xml:space="preserve">https://github.com/ZiyadAlmoneef/support-intelligence-platform</t>
  </si>
  <si>
    <t xml:space="preserve">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 — https://github.com/ZiyadAlmoneef</t>
  </si>
  <si>
    <t xml:space="preserve">سارة البخيتان</t>
  </si>
  <si>
    <t xml:space="preserve">Sarah Albukhaytan</t>
  </si>
  <si>
    <t xml:space="preserve">https://github.com/SarahAlBukhaytan</t>
  </si>
  <si>
    <t xml:space="preserve">مشروع تخرج University Hub — «SDAIA Academy | Learning Space»؛ فريق ثلاثي مع لجين الدجين وعايدة السويد (22–26 يوليو 2026). — https://github.com/SarahAlBukhaytan/University_Hub</t>
  </si>
  <si>
    <t xml:space="preserve">سارة البهلال</t>
  </si>
  <si>
    <t xml:space="preserve">Sara Albahlal</t>
  </si>
  <si>
    <t xml:space="preserve">https://github.com/saraalbahlal3</t>
  </si>
  <si>
    <t xml:space="preserve">مساعد البحث العلمي (خط Bronze/Silver/Gold + RAG) — README: «Organization: SDAIA Academy»؛ فريق ثلاثي: سارة البهلال، سارة المحرب، حصة الشدي (23 يوليو 2026). (شخص مختلف عن «الجوهرة البهلال» 2023.) — https://github.com/saraalbahlal3/AI-Research-Assistant</t>
  </si>
  <si>
    <t xml:space="preserve">سارة الساعد</t>
  </si>
  <si>
    <t xml:space="preserve">Sara Al-Sa'ed</t>
  </si>
  <si>
    <t xml:space="preserve">https://github.com/Ghala3mri/Hospital-RAG-Capstone-Data-Engineering-For-AI-Systems---DAICO-</t>
  </si>
  <si>
    <t xml:space="preserve">مسماة في README مشروع Hospital RAG (فريق ثلاثي مع غلا العمري وغيداء الواصل).</t>
  </si>
  <si>
    <t xml:space="preserve">سارة المحرب</t>
  </si>
  <si>
    <t xml:space="preserve">Sarah Almohreb</t>
  </si>
  <si>
    <t xml:space="preserve">سارة عبدالعزيز الخضيري</t>
  </si>
  <si>
    <t xml:space="preserve">Sarah Abdulaziz Alkhudhiri</t>
  </si>
  <si>
    <t xml:space="preserve">https://www.linkedin.com/in/sarah-abdulaziz-a87a88351</t>
  </si>
  <si>
    <t xml:space="preserve">https://github.com/SarahkhIT</t>
  </si>
  <si>
    <t xml:space="preserve">مشروع تخرج DAICO — فريق ثلاثي: سارة الخضيري، رهف الفالح، بسمة الهندي (21–23 يوليو 2026). التخصص: Data engineering — Delta Lakehouse pipelines and RAG question answering over arXiv papers. — https://github.com/SarahkhIT/DataEngProject</t>
  </si>
  <si>
    <t xml:space="preserve">شهد العطيش</t>
  </si>
  <si>
    <t xml:space="preserve">Shahad Alotaish</t>
  </si>
  <si>
    <t xml:space="preserve">https://github.com/ns3271585-arch/Modern-Data-Engineering-AI--capstone</t>
  </si>
  <si>
    <t xml:space="preserve">مسماة في README مشروع توصيل الطعام (فريق ثلاثي).</t>
  </si>
  <si>
    <t xml:space="preserve">عايدة السويد</t>
  </si>
  <si>
    <t xml:space="preserve">Ayidah Alswayed</t>
  </si>
  <si>
    <t xml:space="preserve">يونيو–يوليو 2026 (برنامجان)</t>
  </si>
  <si>
    <t xml:space="preserve">https://github.com/LujainAldujain/University_Hub</t>
  </si>
  <si>
    <t xml:space="preserve">مسماة في README مشروعين مستقلين: فريق University Hub (هندسة البيانات DAICO، يوليو) وفريق ورشة Vibe Coding الرباعي (يونيو–يوليو) — انتساب مزدوج يعزز التوثيق. — https://github.com/Shatha-1/sdaia-vibe-coding</t>
  </si>
  <si>
    <t xml:space="preserve">عبدالرحمن باجنيد</t>
  </si>
  <si>
    <t xml:space="preserve">Abdulrahman Bajunaid</t>
  </si>
  <si>
    <t xml:space="preserve">أغسطس 2026 (بدأ 3 أغسطس — متدرب حالي)</t>
  </si>
  <si>
    <t xml:space="preserve">https://www.linkedin.com/in/abdulrahman-bajunaid</t>
  </si>
  <si>
    <t xml:space="preserve">منشور علني (3 أغسطس 2026) يوثّق التحاقه باليوم الأول من البرنامج (معمارية Lakehouse وDelta Lake وPySpark). متدرب حالي — لم يكتمل البرنامج بعد. — https://www.linkedin.com/posts/abdulrahman-bajunaid_aevaeuaexaebaerabraepaesaeqaeyaepaeuaepaes-share-7489694991158738944-64RZ/</t>
  </si>
  <si>
    <t xml:space="preserve">عهود المحمدي</t>
  </si>
  <si>
    <t xml:space="preserve">Ohoud Almohammadi</t>
  </si>
  <si>
    <t xml:space="preserve">https://github.com/Ohoud-Almohammadi</t>
  </si>
  <si>
    <t xml:space="preserve">سجل مضاف في المسح العلني الموسّع (أغسطس 2026). التخصص: هندسة البيانات / Data Engineering. الدليل: SDAIA Course (repository description of Data-Enginnering) — https://github.com/Ohoud-Almohammadi/Data-Enginnering</t>
  </si>
  <si>
    <t xml:space="preserve">غلا العمري</t>
  </si>
  <si>
    <t xml:space="preserve">Ghala Alamri</t>
  </si>
  <si>
    <t xml:space="preserve">https://github.com/Ghala3mri</t>
  </si>
  <si>
    <t xml:space="preserve">مشروع تخرج Hospital RAG — README يوثّق الدورة 19–23 يوليو 2026؛ فريق ثلاثي مع غيداء الواصل وسارة الساعد. — https://github.com/Ghala3mri/Hospital-RAG-Capstone-Data-Engineering-For-AI-Systems---DAICO-</t>
  </si>
  <si>
    <t xml:space="preserve">غلا عوض</t>
  </si>
  <si>
    <t xml:space="preserve">Ghala Awd</t>
  </si>
  <si>
    <t xml:space="preserve">مشروع تخرج DAICO — README: «SDAIA Academy — Modern Data Engineering for AI Systems (DAICO)» (22–23 يوليو 2026). — https://github.com/GhalaAwd/Capstone-Project-Modern-Data-Engineering-for-AI-Systems</t>
  </si>
  <si>
    <t xml:space="preserve">غيداء العمر</t>
  </si>
  <si>
    <t xml:space="preserve">Ghaida Alomar</t>
  </si>
  <si>
    <t xml:space="preserve">يونيو 2026</t>
  </si>
  <si>
    <t xml:space="preserve">https://github.com/Ghaida2244</t>
  </si>
  <si>
    <t xml:space="preserve">مشروع ShopStream لبيانات التجزئة — README: «Training Program: Modern Data Engineering for AI Systems · SDAIA Academy · June 2026» — يوثّق دفعة يونيو 2026 من البرنامج. — https://github.com/Ghaida2244/ShopStream</t>
  </si>
  <si>
    <t xml:space="preserve">غيداء الواصل</t>
  </si>
  <si>
    <t xml:space="preserve">Ghaida Alwasel</t>
  </si>
  <si>
    <t xml:space="preserve">مسماة في README مشروع Hospital RAG (فريق ثلاثي). ملاحظة: حساب Ghhaidaa نشر مستودعًا فرديًا لنفس البرنامج — احتمال أنه لها غير محسوم.</t>
  </si>
  <si>
    <t xml:space="preserve">فتون الزنان</t>
  </si>
  <si>
    <t xml:space="preserve">Ftoon Al-Zanan</t>
  </si>
  <si>
    <t xml:space="preserve">https://github.com/FtounMohammed</t>
  </si>
  <si>
    <t xml:space="preserve">مشروع توظيف ذكي — README: «Modern Data Engineering for AI Systems — SDAIA Academy, DICO … المدرب محمد البلادي»؛ فريق ثنائي مع روا المحيميد (22 يوليو 2026). — https://github.com/FtounMohammed/AI_Recruitment</t>
  </si>
  <si>
    <t xml:space="preserve">لجين الدجين</t>
  </si>
  <si>
    <t xml:space="preserve">Lujain Aldujain</t>
  </si>
  <si>
    <t xml:space="preserve">https://github.com/LujainAldujain</t>
  </si>
  <si>
    <t xml:space="preserve">مشروع تخرج University Hub (فريق ثلاثي) — 22–26 يوليو 2026. — https://github.com/LujainAldujain/University_Hub</t>
  </si>
  <si>
    <t xml:space="preserve">ليان العمر</t>
  </si>
  <si>
    <t xml:space="preserve">Layan Alomar</t>
  </si>
  <si>
    <t xml:space="preserve">https://www.linkedin.com/in/layan-alomar-57b11132b</t>
  </si>
  <si>
    <t xml:space="preserve">https://github.com/LayanAlomar</t>
  </si>
  <si>
    <t xml:space="preserve">مشروع أنظمة اللوائح الجامعية — فريق رباعي: ليان العمر، وجد العتيبي، العذوب العصيمي، ريما قبلان (22–23 يوليو 2026). التخصص: AI, Software Engineering, Research. — https://github.com/LayanAlomar/Data-Engineering-for-AI-Systems-University-Regulations</t>
  </si>
  <si>
    <t xml:space="preserve">منار المطيري</t>
  </si>
  <si>
    <t xml:space="preserve">Manar Almutairi</t>
  </si>
  <si>
    <t xml:space="preserve">مسماة في README مشروع النقل واللوجستيات (فريق ثلاثي). (تنبيه تشابه: القاعدة تضم «نوف المطيري» و«منار الطلحي» في فريق نبيه 2024 — أشخاص مختلفون.)</t>
  </si>
  <si>
    <t xml:space="preserve">موضي الحمود</t>
  </si>
  <si>
    <t xml:space="preserve">Moudi Alhomoud</t>
  </si>
  <si>
    <t xml:space="preserve">ناديه الغامدي</t>
  </si>
  <si>
    <t xml:space="preserve">Nadia Alghamdi</t>
  </si>
  <si>
    <t xml:space="preserve">https://github.com/Nadia-143</t>
  </si>
  <si>
    <t xml:space="preserve">مساعد معرفي Lakehouse لقطاع النقل — README بالعربية يسمي الفريق: ناديه الغامدي، ابتسام محمد الزهراني، منار المطيري؛ «part of Modern Data Engineering for AI systems provided by SDAIA» (4–5 يوليو 2026). — https://github.com/Nadia-143/AI_Knowledge_Lakehouse_Assistant_for_Transport-Logistics</t>
  </si>
  <si>
    <t xml:space="preserve">نورة المقبل</t>
  </si>
  <si>
    <t xml:space="preserve">Noura Almuqbil</t>
  </si>
  <si>
    <t xml:space="preserve">https://github.com/ns3271585-arch</t>
  </si>
  <si>
    <t xml:space="preserve">مشروع توصيل الطعام — README: «Students: Noura Almuqbil, Moudi Alhomoud, Shahad Alotaish · Program: Modern Data Engineering for AI Systems — SDAIA Academy · Trainer: Mohammed Albeladi · 19–23 July 2026». — https://github.com/ns3271585-arch/Modern-Data-Engineering-AI--capstone</t>
  </si>
  <si>
    <t xml:space="preserve">هيا عبدالمجيد الجريسي</t>
  </si>
  <si>
    <t xml:space="preserve">Haya AbdulMajeed Aljuraysi</t>
  </si>
  <si>
    <t xml:space="preserve">وجد العتيبي</t>
  </si>
  <si>
    <t xml:space="preserve">Wajd Alotaibi</t>
  </si>
  <si>
    <t xml:space="preserve">وعد السيف</t>
  </si>
  <si>
    <t xml:space="preserve">Waad Alsaif</t>
  </si>
  <si>
    <t xml:space="preserve">~يوليو 2026</t>
  </si>
  <si>
    <t xml:space="preserve">https://github.com/waadalsaif1-beep</t>
  </si>
  <si>
    <t xml:space="preserve">🆕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https://github.com/waadalsaif1-beep/DAICO-website</t>
  </si>
  <si>
    <t xml:space="preserve">دانية السحفي</t>
  </si>
  <si>
    <t xml:space="preserve">Dania Alsahfy</t>
  </si>
  <si>
    <t xml:space="preserve">https://github.com/Dania166</t>
  </si>
  <si>
    <t xml:space="preserve">سجل مضاف في المسح العلني الموسّع (أغسطس 2026). التخصص: تعلم الآلة / Machine Learning. الدليل: # SDAIA_ML_bootcamp_Assignments (repository of assignments from the SDAIA ML bootcamp, authored by Dania Alsahfy per public commit history) — https://github.com/Dania166/SDAIA_ML_bootcamp_Assignments</t>
  </si>
  <si>
    <t xml:space="preserve">ريم باحثيق</t>
  </si>
  <si>
    <t xml:space="preserve">Reem Bahathiq</t>
  </si>
  <si>
    <t xml:space="preserve">https://github.com/CS-Rorita/SDAIA-machine-learning-bootcamp</t>
  </si>
  <si>
    <t xml:space="preserve">سجل مضاف في المسح العلني الموسّع (أغسطس 2026). التخصص: تعلم الآلة / Machine Learning. الدليل: Repository 'SDAIA-machine-learning-bootcamp'. Real name resolved from git commit author 'Reem Bahathiq'.</t>
  </si>
  <si>
    <t xml:space="preserve">ريما الغامدي</t>
  </si>
  <si>
    <t xml:space="preserve">Reema Alghamdi</t>
  </si>
  <si>
    <t xml:space="preserve">https://github.com/GitReema-code</t>
  </si>
  <si>
    <t xml:space="preserve">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 — https://github.com/GitReema-code/MachineLearning</t>
  </si>
  <si>
    <t xml:space="preserve">سديم عسيري</t>
  </si>
  <si>
    <t xml:space="preserve">Sadeem Asiri</t>
  </si>
  <si>
    <t xml:space="preserve">https://www.linkedin.com/in/sadeemasiri2003</t>
  </si>
  <si>
    <t xml:space="preserve">https://github.com/Sadcem/SDAIA-ML-Bootcamp</t>
  </si>
  <si>
    <t xml:space="preserve">أتمّت معسكر تعلم الآلة أثناء دراستها الجامعية. التخصص: Data Science, Data Analysis, AI, ML. — https://github.com/Sadcem</t>
  </si>
  <si>
    <t xml:space="preserve">محمد الزبيدي</t>
  </si>
  <si>
    <t xml:space="preserve">Mohammed Alzabyedi</t>
  </si>
  <si>
    <t xml:space="preserve">الجولة الثانية من المسح العلني (5 أغسطس 2026): عضو فريق مشروع تصنيف حبوب القهوة ضمن معسكر T5 — README: "The third project at SDAIA bootcamp T5" — Team: Eng. Nasser Alqahtani, Mohammed Alzabyedi.</t>
  </si>
  <si>
    <t xml:space="preserve">نهى العنزي</t>
  </si>
  <si>
    <t xml:space="preserve">Nuha Alanezi</t>
  </si>
  <si>
    <t xml:space="preserve">https://github.com/naz50/SDAIA_ML_Bootcamp2024</t>
  </si>
  <si>
    <t xml:space="preserve">سجل مضاف في المسح العلني الموسّع (أغسطس 2026). التخصص: تعلم الآلة / Machine Learning. الدليل: Repository 'SDAIA_ML_Bootcamp2024' — description '#Machine Learning #SDAIA'. Real name resolved from the sole git commit author 'Nuha Alanezi'.</t>
  </si>
  <si>
    <t xml:space="preserve">هدى اسكندر</t>
  </si>
  <si>
    <t xml:space="preserve">Huda Iskandar</t>
  </si>
  <si>
    <t xml:space="preserve">https://www.linkedin.com/in/huda-iskandar-73a1831b8/</t>
  </si>
  <si>
    <t xml:space="preserve">بكالوريوس ذكاء اصطناعي — جامعة مانشستر (2025). البيانات من مصدر الأكاديمية ويوصى بتحقق مباشر قبل النشر.</t>
  </si>
  <si>
    <t xml:space="preserve">Abdulmajeed Alharbi</t>
  </si>
  <si>
    <t xml:space="preserve">https://github.com/iMJOOD</t>
  </si>
  <si>
    <t xml:space="preserve">سجل مضاف في المسح العلني الموسّع (أغسطس 2026). الدليل: Repo 'Data_Science_Bootcamp' described 'T5 Bootcamp'. Profile display name 'Abdulmajeed Alharbi'. — https://github.com/iMJOOD/Data_Science_Bootcamp</t>
  </si>
  <si>
    <t xml:space="preserve">Abdulrahman Almutiri</t>
  </si>
  <si>
    <t xml:space="preserve">https://github.com/engdhom9</t>
  </si>
  <si>
    <t xml:space="preserve">سجل مضاف في المسح العلني الموسّع (أغسطس 2026). الدليل: Repo description: 'T5 bootcamp project'. Profile display name 'Abdulrahman Almutiri', Saudi Arabia. — https://github.com/engdhom9/T5-Project</t>
  </si>
  <si>
    <t xml:space="preserve">Ahmed Almatar</t>
  </si>
  <si>
    <t xml:space="preserve">https://github.com/Ahmed-Almatar</t>
  </si>
  <si>
    <t xml:space="preserve">سجل مضاف في المسح العلني الموسّع (أغسطس 2026). الدليل: Repo description: 'First Project of T5 Bootcamp'. Name derived from GitHub handle Ahmed-Almatar (no display name set). — https://github.com/Ahmed-Almatar/T5_Project-1</t>
  </si>
  <si>
    <t xml:space="preserve">Ahood Alsuhaibani</t>
  </si>
  <si>
    <t xml:space="preserve">https://github.com/AhoodAlsuhaibani</t>
  </si>
  <si>
    <t xml:space="preserve">سجل مضاف في المسح العلني الموسّع (أغسطس 2026). الدليل: Repo description: 'This project developed a chatbot to assist students in the T5 Bootcamp program', trained on T5 course materials. Name derived from GitHub handle AhoodAlsuhaibani. — https://github.com/AhoodAlsuhaibani/TeacherAssistantChatbot</t>
  </si>
  <si>
    <t xml:space="preserve">Asma Ali</t>
  </si>
  <si>
    <t xml:space="preserve">Fadhel Aleid</t>
  </si>
  <si>
    <t xml:space="preserve">https://github.com/FadhelAleid</t>
  </si>
  <si>
    <t xml:space="preserve">سجل مضاف في المسح العلني الموسّع (أغسطس 2026). الدليل: Repo 'Data-Science-Bootcamps-for-SDAIA-Academy'. Name derived from handle FadhelAleid (no display name set). — https://github.com/FadhelAleid/Data-Science-Bootcamps-for-SDAIA-Academy</t>
  </si>
  <si>
    <t xml:space="preserve">Fatimah Alhamadeh</t>
  </si>
  <si>
    <t xml:space="preserve">https://github.com/falhamadeh</t>
  </si>
  <si>
    <t xml:space="preserve">سجل مضاف في المسح العلني الموسّع (أغسطس 2026). الدليل: Owns repo 'T5Camp_DataScience' - 'This is to share Data Science Project deliverables'. Profile display name 'Fatimah Alhamadeh'. — https://github.com/falhamadeh/T5Camp_DataScience</t>
  </si>
  <si>
    <t xml:space="preserve">Jawaher Alhuthayfi</t>
  </si>
  <si>
    <t xml:space="preserve">https://github.com/jwaherr</t>
  </si>
  <si>
    <t xml:space="preserve">سجل مضاف في المسح العلني الموسّع (أغسطس 2026). الدليل: Repo description: 'T5 bootcamp project'. Profile display name 'Jawaher Alhuthayfi'. — https://github.com/jwaherr/HR-Analytics-for-Employee-Retention</t>
  </si>
  <si>
    <t xml:space="preserve">Khuzama Alk</t>
  </si>
  <si>
    <t xml:space="preserve">https://github.com/Khuzamaalk</t>
  </si>
  <si>
    <t xml:space="preserve">سجل مضاف في المسح العلني الموسّع (أغسطس 2026). الدليل: Owns repo 'AI_DataScience_T5_Bootcamp'. Profile: 'Khuzama Khuzamaalk', 'Data Scientist | Turning data into insights', Riyadh. Surname truncated on profile. — https://github.com/Khuzamaalk/AI_DataScience_T5_Bootcamp</t>
  </si>
  <si>
    <t xml:space="preserve">Lubna Alhenaki</t>
  </si>
  <si>
    <t xml:space="preserve">https://www.linkedin.com/in/lubna-alhenaki-2304a9191/</t>
  </si>
  <si>
    <t xml:space="preserve">https://github.com/LubnaAlhenaki</t>
  </si>
  <si>
    <t xml:space="preserve">سجل مضاف في المسح العلني الموسّع (أغسطس 2026). الدليل: Repo 'T5' described 'T5 bootcamp'. Profile display name 'Lubna Alhenaki'; other repos on Arabic NLP. — https://github.com/LubnaAlhenaki/T5</t>
  </si>
  <si>
    <t xml:space="preserve">Malik Alansari</t>
  </si>
  <si>
    <t xml:space="preserve">https://github.com/MalikAlansari</t>
  </si>
  <si>
    <t xml:space="preserve">سجل مضاف في المسح العلني الموسّع (أغسطس 2026). الدليل: Repo 'DataScience' described 'T5 BootCamp Project'. Name derived from GitHub handle MalikAlansari (no display name set). — https://github.com/MalikAlansari/DataScience</t>
  </si>
  <si>
    <t xml:space="preserve">Mohammed Alrakan</t>
  </si>
  <si>
    <t xml:space="preserve">https://github.com/MohammedAlrakan</t>
  </si>
  <si>
    <t xml:space="preserve">سجل مضاف في المسح العلني الموسّع (أغسطس 2026). الدليل: Repo 'T5-Bootcamp' described 'T5 Bootcamp'. Name derived from GitHub handle MohammedAlrakan (no display name set). — https://github.com/MohammedAlrakan/T5-Bootcamp</t>
  </si>
  <si>
    <t xml:space="preserve">Naif Albader</t>
  </si>
  <si>
    <t xml:space="preserve">https://github.com/Naif-Albader</t>
  </si>
  <si>
    <t xml:space="preserve">سجل مضاف في المسح العلني الموسّع (أغسطس 2026). الدليل: Repo description: 'The third project in SDAIA T5 bootcamp'. Name derived from GitHub handle Naif-Albader (no display name set). — https://github.com/Naif-Albader/Classification_Project</t>
  </si>
  <si>
    <t xml:space="preserve">Nouf Alshabani</t>
  </si>
  <si>
    <t xml:space="preserve">https://github.com/Noufalshabani</t>
  </si>
  <si>
    <t xml:space="preserve">سجل مضاف في المسح العلني الموسّع (أغسطس 2026). الدليل: Repo 'SDAIA-T5-Data-Science-Bootcamp' - portfolio of T5 Bootcamp data science projects. Name derived from handle Noufalshabani (no display name set). — https://github.com/Noufalshabani/SDAIA-T5-Data-Science-Bootcamp</t>
  </si>
  <si>
    <t xml:space="preserve">Nourah Alsaadan</t>
  </si>
  <si>
    <t xml:space="preserve">https://github.com/nourahsaud</t>
  </si>
  <si>
    <t xml:space="preserve">سجل مضاف في المسح العلني الموسّع (أغسطس 2026). الدليل: Owns repo 'T5-Data-Science-Bootcamp' plus capstone repos. Profile display name 'Nourah Alsaadan'. — https://github.com/nourahsaud/T5-Data-Science-Bootcamp</t>
  </si>
  <si>
    <t xml:space="preserve">Rawan Alotaibi</t>
  </si>
  <si>
    <t xml:space="preserve">https://www.linkedin.com/in/rs-alotaibi</t>
  </si>
  <si>
    <t xml:space="preserve">https://github.com/AlRawan7</t>
  </si>
  <si>
    <t xml:space="preserve">سجل مضاف في المسح العلني الموسّع (أغسطس 2026). الدليل: Repo description: 'Task For T5 Bootcamp'. Profile display name 'Rawan Alotaibi', Riyadh, Saudi Arabia. — https://github.com/AlRawan7/DataAnalysis_Week1</t>
  </si>
  <si>
    <t xml:space="preserve">Razan Aljuraysi</t>
  </si>
  <si>
    <t xml:space="preserve">https://github.com/RazanAljuraysi</t>
  </si>
  <si>
    <t xml:space="preserve">سجل مضاف في المسح العلني الموسّع (أغسطس 2026). الدليل: Repo 'SDAIA-T5-projects' described 'Diverse projects from SDAIA t5 bootcamp experience showcasing learning and growth'. Name derived from handle RazanAljuraysi (no display name set). — https://github.com/RazanAljuraysi/SDAIA-T5-projects</t>
  </si>
  <si>
    <t xml:space="preserve">Saud Altuwaijri</t>
  </si>
  <si>
    <t xml:space="preserve">https://github.com/Saud0Altuwaijri</t>
  </si>
  <si>
    <t xml:space="preserve">سجل مضاف في المسح العلني الموسّع (أغسطس 2026). الدليل: Repo described 'this project is a part of T5 bootcamp'; also owns T5_W3_projects, T5_W4_Task1.2. Name derived from handle Saud0Altuwaijri. — https://github.com/Saud0Altuwaijri/T5-ANN-Registration-classification</t>
  </si>
  <si>
    <t xml:space="preserve">Shahad Alameel</t>
  </si>
  <si>
    <t xml:space="preserve">https://github.com/ShahadAlameel</t>
  </si>
  <si>
    <t xml:space="preserve">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 — https://github.com/ShahadAlameel/BankCustomerChurn_Project</t>
  </si>
  <si>
    <t xml:space="preserve">Shatha Alghamdi</t>
  </si>
  <si>
    <t xml:space="preserve">https://www.linkedin.com/in/shathaal/</t>
  </si>
  <si>
    <t xml:space="preserve">https://github.com/ShathaAlghamdi</t>
  </si>
  <si>
    <t xml:space="preserve">سجل مضاف في المسح العلني الموسّع (أغسطس 2026). الدليل: Owns repo 'Prediction-of-Strokes_T5_Data_science'. Profile display name 'Shatha Al' (handle ShathaAlghamdi), bio 'Programmer'. — https://github.com/ShathaAlghamdi/Prediction-of-Strokes_T5_Data_science</t>
  </si>
  <si>
    <t xml:space="preserve">Tariq Alhathloul</t>
  </si>
  <si>
    <t xml:space="preserve">https://github.com/TariqAlhathloul</t>
  </si>
  <si>
    <t xml:space="preserve">سجل مضاف في المسح العلني الموسّع (أغسطس 2026). الدليل: Owns repo 'T55_DataScienceBootCamp' (Data Exploration using pandas). Profile display name 'Tariq Hassan', handle TariqAlhathloul, Riyadh. Weaker tie: repo names T5 bootcamp but does not name SDAIA. — https://github.com/TariqAlhathloul/T55_DataScienceBootCamp</t>
  </si>
  <si>
    <t xml:space="preserve">أحمد باشماخ</t>
  </si>
  <si>
    <t xml:space="preserve">Ahmed Bashmmakh</t>
  </si>
  <si>
    <t xml:space="preserve">https://github.com/AhmedBashmmakh</t>
  </si>
  <si>
    <t xml:space="preserve">مالك مستودع المشروع</t>
  </si>
  <si>
    <t xml:space="preserve">أحمد حكمي</t>
  </si>
  <si>
    <t xml:space="preserve">Ahmad Hakami</t>
  </si>
  <si>
    <t xml:space="preserve">https://github.com/Noufalshabani/SDAIA-T5-Data-Science-Bootcamp</t>
  </si>
  <si>
    <t xml:space="preserve">سجل مضاف في المسح العلني الموسّع (أغسطس 2026). التخصص: علوم البيانات (Data Science). الدليل: Repository 'SDAIA-T5-Data-Science-Bootcamp'; resolved git author name: Ahmad Hakami</t>
  </si>
  <si>
    <t xml:space="preserve">أحمد صميلي</t>
  </si>
  <si>
    <t xml:space="preserve">Ahmed Somili</t>
  </si>
  <si>
    <t xml:space="preserve">الدفعة غير معروفة</t>
  </si>
  <si>
    <t xml:space="preserve">https://sa.linkedin.com/in/7iz7</t>
  </si>
  <si>
    <t xml:space="preserve">https://github.com/7iz7</t>
  </si>
  <si>
    <t xml:space="preserve">انتساب مؤكد بمصدرين ذاتيين (GitHub + عنوان LinkedIn). مشاريع: CAMP-AI للرؤية الحاسوبية ومنصة إرشاد أكاديمي. التخصص: Based in Jazan (consistent with the Jazan T5 cohort recorded in the DB).</t>
  </si>
  <si>
    <t xml:space="preserve">أسماء الثقفي</t>
  </si>
  <si>
    <t xml:space="preserve">Asmaa Althakafi</t>
  </si>
  <si>
    <t xml:space="preserve">https://www.linkedin.com/in/asmaa-althakafi/</t>
  </si>
  <si>
    <t xml:space="preserve">الجهة والمسمى مؤكدان عبر مجمّع بيانات؛ تاريخ البدء غير مؤكد ولقب Senior يرجّح تدرجًا. مشروع التخرج: التعرّف الضوئي على النوتة الموسيقية. — https://github.com/AsmaaAlthakafi/Optical-Music-Recognition</t>
  </si>
  <si>
    <t xml:space="preserve">إلياس مغربي</t>
  </si>
  <si>
    <t xml:space="preserve">Elyas Maghrabi</t>
  </si>
  <si>
    <t xml:space="preserve">https://www.linkedin.com/in/elyas-maghrabi-567109136/</t>
  </si>
  <si>
    <t xml:space="preserve">الجهة مؤكدة بمقتطف مفهرس ومعرّف الملف يطابق كشف الفصل؛ المسمى والتاريخ غير مؤكدين. أنجز سلسلة مشاريع T5 الخمس كاملة. — https://github.com/maghrabi-es/EDA-Project</t>
  </si>
  <si>
    <t xml:space="preserve">إيلاف الساعدي</t>
  </si>
  <si>
    <t xml:space="preserve">Elaf Alsaedi</t>
  </si>
  <si>
    <t xml:space="preserve">https://www.linkedin.com/in/elaf-alsaedi/</t>
  </si>
  <si>
    <t xml:space="preserve">المسمى معلن والجهة مُخفاة؛ التاريخ غير مؤكد. لها ملف على Google Scholar (المحتوى غير قابل للجلب — robots). — https://github.com/elafsalem</t>
  </si>
  <si>
    <t xml:space="preserve">إيلاف طلال</t>
  </si>
  <si>
    <t xml:space="preserve">Elaf Talal</t>
  </si>
  <si>
    <t xml:space="preserve">https://www.linkedin.com/in/elaf-talal-226a901a8/</t>
  </si>
  <si>
    <t xml:space="preserve">https://github.com/elaftalal</t>
  </si>
  <si>
    <t xml:space="preserve">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 — https://github.com/elaftalal/DS_cyber_security_IDS_prediction_system</t>
  </si>
  <si>
    <t xml:space="preserve">الرشيد خالد الرشيد</t>
  </si>
  <si>
    <t xml:space="preserve">Alrasheed Khalid Al-Rasheed</t>
  </si>
  <si>
    <t xml:space="preserve">https://github.com/8dci</t>
  </si>
  <si>
    <t xml:space="preserve">سجل مضاف في المسح العلني الموسّع (أغسطس 2026). التخصص: Machine learning, dashcam projects. الدليل: T5 Bootcamp from Sadia [sic - SDAIA] — https://github.com/8dci/T5</t>
  </si>
  <si>
    <t xml:space="preserve">العنود سالم المطيري</t>
  </si>
  <si>
    <t xml:space="preserve">Alanoud Salem Almutairi</t>
  </si>
  <si>
    <t xml:space="preserve">https://github.com/firasmalik/T5C06</t>
  </si>
  <si>
    <t xml:space="preserve">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</si>
  <si>
    <t xml:space="preserve">بنان الهذلول</t>
  </si>
  <si>
    <t xml:space="preserve">Banan Alhethlool</t>
  </si>
  <si>
    <t xml:space="preserve">سجل مضاف في المسح العلني الموسّع (أغسطس 2026). التخصص: تعلم الآلة / التصنيف. الدليل: This is the third project that is done during the T5 data science bootcamp ... Created by: Banan Alhethlool, Randa Almohammadi — https://github.com/rmalmoha/T5-ML-Classification-Project/blob/main/README.md</t>
  </si>
  <si>
    <t xml:space="preserve">جيهان المطيري</t>
  </si>
  <si>
    <t xml:space="preserve">Jehan Almutairi</t>
  </si>
  <si>
    <t xml:space="preserve">https://github.com/Je-97/Project-Accident-Detection</t>
  </si>
  <si>
    <t xml:space="preserve">عضو فريق مشروع تخرج موثّق؛ كل النتائج المهنية غير موثّقة علنًا.</t>
  </si>
  <si>
    <t xml:space="preserve">حنان محمد</t>
  </si>
  <si>
    <t xml:space="preserve">Hanan Mohammed</t>
  </si>
  <si>
    <t xml:space="preserve">د. صالح الفرحان</t>
  </si>
  <si>
    <t xml:space="preserve">Saleh AL-Farhan</t>
  </si>
  <si>
    <t xml:space="preserve">https://github.com/Dr-ssaleh</t>
  </si>
  <si>
    <t xml:space="preserve">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 — https://github.com/Dr-ssaleh/Cardiovascular_Disease_Classification</t>
  </si>
  <si>
    <t xml:space="preserve">دانة العنزي</t>
  </si>
  <si>
    <t xml:space="preserve">Dana Alanazi</t>
  </si>
  <si>
    <t xml:space="preserve">https://github.com/samaalharbi2/AGRONA-Plant-Disease-Detection</t>
  </si>
  <si>
    <t xml:space="preserve">دانة المستادي</t>
  </si>
  <si>
    <t xml:space="preserve">Dana Almestadi</t>
  </si>
  <si>
    <t xml:space="preserve">https://www.linkedin.com/in/dana-almestadi/</t>
  </si>
  <si>
    <t xml:space="preserve">https://github.com/Danalmestadi</t>
  </si>
  <si>
    <t xml:space="preserve">خريجة هندسة برمجيات (جامعة جدة) حاصلة على شهادة Red Hat RHCSA. مشروع التخرج: التنبؤ بتصادم المركبات (عمق + كشف) آنيًا. التخصص: Linux, AI, computer vision, containers/OpenShift; RHCSA certified. — https://github.com/Danalmestadi/SDAIA-T5-Capstone-Project</t>
  </si>
  <si>
    <t xml:space="preserve">رغد القثمي</t>
  </si>
  <si>
    <t xml:space="preserve">Raghad AlQithmi</t>
  </si>
  <si>
    <t xml:space="preserve">https://github.com/ManaSaleh/Data-Analysis-Project</t>
  </si>
  <si>
    <t xml:space="preserve">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t>
  </si>
  <si>
    <t xml:space="preserve">رهف اليوسف</t>
  </si>
  <si>
    <t xml:space="preserve">Rahaf Alyousef</t>
  </si>
  <si>
    <t xml:space="preserve">https://sa.linkedin.com/in/rahaf-alyousef-6b83b8208</t>
  </si>
  <si>
    <t xml:space="preserve">الجهة مؤكدة بمقتطف مفهرس؛ المسمى والتاريخ غير مؤكدين. مؤلفة commits ومشاريع مشتركة في فصل C06 (Regression وUnsupervised وDeep Learning). — https://github.com/rahafkh1</t>
  </si>
  <si>
    <t xml:space="preserve">روابي المطيري</t>
  </si>
  <si>
    <t xml:space="preserve">Rawabi Almutairi</t>
  </si>
  <si>
    <t xml:space="preserve">غير معروفة</t>
  </si>
  <si>
    <t xml:space="preserve">https://www.linkedin.com/in/rawabi-almutairi-884478222</t>
  </si>
  <si>
    <t xml:space="preserve">https://github.com/thisisrawabi</t>
  </si>
  <si>
    <t xml:space="preserve">دراسة فعالية الطب عن بُعد أثناء كوفيد-19 (~1,040 استبانة؛ ارتفاع الزيارات من 102 إلى 801/يوم).</t>
  </si>
  <si>
    <t xml:space="preserve">ريم البلوي</t>
  </si>
  <si>
    <t xml:space="preserve">Reem Albalawi</t>
  </si>
  <si>
    <t xml:space="preserve">https://github.com/ReemAlbluwi</t>
  </si>
  <si>
    <t xml:space="preserve">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https://rocketreach.co/reem-albalawi-email_506449863</t>
  </si>
  <si>
    <t xml:space="preserve">زياد قطب</t>
  </si>
  <si>
    <t xml:space="preserve">Ziyad Qutub</t>
  </si>
  <si>
    <t xml:space="preserve">https://github.com/ZiyadQutub</t>
  </si>
  <si>
    <t xml:space="preserve">مستودعات مقررات KFUPM</t>
  </si>
  <si>
    <t xml:space="preserve">سارة الكنهل</t>
  </si>
  <si>
    <t xml:space="preserve">Sarah Alkanhal</t>
  </si>
  <si>
    <t xml:space="preserve">https://github.com/sarahmkk11</t>
  </si>
  <si>
    <t xml:space="preserve">ملف بسيط</t>
  </si>
  <si>
    <t xml:space="preserve">سامر عطوي</t>
  </si>
  <si>
    <t xml:space="preserve">Samer Atwi</t>
  </si>
  <si>
    <t xml:space="preserve">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t>
  </si>
  <si>
    <t xml:space="preserve">شوق الزير</t>
  </si>
  <si>
    <t xml:space="preserve">Shoug Alzeer</t>
  </si>
  <si>
    <t xml:space="preserve">https://github.com/shhouuq/T5--AI-Bootcamp</t>
  </si>
  <si>
    <t xml:space="preserve">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 https://github.com/shhouuq</t>
  </si>
  <si>
    <t xml:space="preserve">صالح التويجري</t>
  </si>
  <si>
    <t xml:space="preserve">Saleh Altuwaijri</t>
  </si>
  <si>
    <t xml:space="preserve">التحق ~يوليو 2024</t>
  </si>
  <si>
    <t xml:space="preserve">https://ae.linkedin.com/posts/saleh-altuwaijri_grateful-to-join-t5-bootcamp-by-sdaia-academy-activity-7220784109793509376-bJch</t>
  </si>
  <si>
    <t xml:space="preserve">الالتحاق بالبرنامج مؤكد بمنشوره الذاتي؛ لا نتيجة توظيف ظاهرة بعد.</t>
  </si>
  <si>
    <t xml:space="preserve">طلال (TalalMJ)</t>
  </si>
  <si>
    <t xml:space="preserve">Talal</t>
  </si>
  <si>
    <t xml:space="preserve">https://github.com/TalalMJ</t>
  </si>
  <si>
    <t xml:space="preserve">مشاركة T5 مؤكدة ذاتيًا — https://x.com/Alnujayman</t>
  </si>
  <si>
    <t xml:space="preserve">طيف عبدالله (الخالص)</t>
  </si>
  <si>
    <t xml:space="preserve">Taef Abdullah</t>
  </si>
  <si>
    <t xml:space="preserve">https://www.linkedin.com/in/taef-al-khales-945380213/</t>
  </si>
  <si>
    <t xml:space="preserve">https://github.com/Taifabdullah2021/MTA_EDA</t>
  </si>
  <si>
    <t xml:space="preserve">الجهة من مجمّع بيانات بمطابقة اسمية متوسطة الثقة؛ التاريخ غير مؤكد. مشروعها الأول MTA_EDA بتواريخ commits 23 سبتمبر – 5 أكتوبر 2021 (مؤكدة بالاستنساخ). — https://github.com/Taifabdullah2021</t>
  </si>
  <si>
    <t xml:space="preserve">عبدالرحمن الغامدي</t>
  </si>
  <si>
    <t xml:space="preserve">Abdulrahman Alghamdi</t>
  </si>
  <si>
    <t xml:space="preserve">https://github.com/AbdulrhmanBakrgh</t>
  </si>
  <si>
    <t xml:space="preserve">IT/تحليل بيانات (وصف ذاتي) · اسم شائع التخصص: IT / data analysis.</t>
  </si>
  <si>
    <t xml:space="preserve">عبدالرحيم الشهري</t>
  </si>
  <si>
    <t xml:space="preserve">Abdulrahim Alshehri</t>
  </si>
  <si>
    <t xml:space="preserve">https://github.com/abdulrahim999</t>
  </si>
  <si>
    <t xml:space="preserve">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 — https://github.com/infoielham/NLP-SMS-Spam-Detection</t>
  </si>
  <si>
    <t xml:space="preserve">عبدالعزيز كوجا</t>
  </si>
  <si>
    <t xml:space="preserve">Abdulaziz Koja</t>
  </si>
  <si>
    <t xml:space="preserve">https://www.linkedin.com/in/abdulazizkoja</t>
  </si>
  <si>
    <t xml:space="preserve">https://github.com/Abdulazizkoja1</t>
  </si>
  <si>
    <t xml:space="preserve">«مهندس ذكاء اصطناعي» (وصف ذاتي) التخصص: Python, Pandas, NLP, Machine Learning, Computer Vision. — https://x.com/abdulazizkhoja4</t>
  </si>
  <si>
    <t xml:space="preserve">علي مفيد</t>
  </si>
  <si>
    <t xml:space="preserve">Ali Mufeed (GitHub: AliMufeed)</t>
  </si>
  <si>
    <t xml:space="preserve">https://github.com/AliMufeed</t>
  </si>
  <si>
    <t xml:space="preserve">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 — https://github.com/AliMufeed/Hotel_Review_NLP</t>
  </si>
  <si>
    <t xml:space="preserve">عمران فلاته</t>
  </si>
  <si>
    <t xml:space="preserve">Omran Fallatah</t>
  </si>
  <si>
    <t xml:space="preserve">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</si>
  <si>
    <t xml:space="preserve">غادة الحربي</t>
  </si>
  <si>
    <t xml:space="preserve">Ghadah Alharbi</t>
  </si>
  <si>
    <t xml:space="preserve">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</si>
  <si>
    <t xml:space="preserve">غدير الصندي</t>
  </si>
  <si>
    <t xml:space="preserve">Ghadeer Alsandi</t>
  </si>
  <si>
    <t xml:space="preserve">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</si>
  <si>
    <t xml:space="preserve">فارس الطوخي</t>
  </si>
  <si>
    <t xml:space="preserve">Fares Altoukhi</t>
  </si>
  <si>
    <t xml:space="preserve">https://github.com/TheKnight909</t>
  </si>
  <si>
    <t xml:space="preserve">نشر نموذج Finetuned MarBERT لتحليل المشاعر العربية (19 تنزيلًا/شهر) وArsarcasm لكشف السخرية وfine-tuned BERT على Hugging Face، وخدمة REST حية على Google Cloud Run (SVM دقة 89%، MARBERTv2 بمعامل F1=0.83). — https://github.com/TheKnight909/Emotional-analysis</t>
  </si>
  <si>
    <t xml:space="preserve">فاطمة الحيري</t>
  </si>
  <si>
    <t xml:space="preserve">Fatimah Alhairi</t>
  </si>
  <si>
    <t xml:space="preserve">لجين عبدالله</t>
  </si>
  <si>
    <t xml:space="preserve">Lujain Abdullah</t>
  </si>
  <si>
    <t xml:space="preserve">ماجد المدني</t>
  </si>
  <si>
    <t xml:space="preserve">Majid Almadani</t>
  </si>
  <si>
    <t xml:space="preserve">https://www.linkedin.com/in/majidalmadani</t>
  </si>
  <si>
    <t xml:space="preserve">https://github.com/MajidAlmadani</t>
  </si>
  <si>
    <t xml:space="preserve">قاد مشروع «سُم» لإدارة المرور والتسعير الديناميكي (YOLOv8 دقة 88%؛ يستهدف 7 طرق بالرياض) — 78/100 في الترتيب. — https://github.com/AhmedBashmmakh/Sum-T5-Capstone</t>
  </si>
  <si>
    <t xml:space="preserve">محمد المالكي</t>
  </si>
  <si>
    <t xml:space="preserve">Mohammed Al Malki</t>
  </si>
  <si>
    <t xml:space="preserve">https://www.linkedin.com/in/mohammed-almalki-m2000</t>
  </si>
  <si>
    <t xml:space="preserve">https://github.com/iwm10/ADEL-System</t>
  </si>
  <si>
    <t xml:space="preserve">مشروع ADEL للإشارات المرورية الذكية: أعلى المشاريع تقييمًا (88/100)؛ دقة كشف مركبات 92%، محاكاة SUMO، وتطبيق حي على Hugging Face. التخصص: Data Science. — https://github.com/iwm10</t>
  </si>
  <si>
    <t xml:space="preserve">محمد عسيلان</t>
  </si>
  <si>
    <t xml:space="preserve">Mohammed Osailan</t>
  </si>
  <si>
    <t xml:space="preserve">https://www.linkedin.com/in/mohammed-osailan/</t>
  </si>
  <si>
    <t xml:space="preserve">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https://github.com/MohammedAHO</t>
  </si>
  <si>
    <t xml:space="preserve">مرية الرشيد</t>
  </si>
  <si>
    <t xml:space="preserve">Mariyyah Alrasheed</t>
  </si>
  <si>
    <t xml:space="preserve">https://github.com/Mariyyah-Alrasheed/T5_tst</t>
  </si>
  <si>
    <t xml:space="preserve">سجل مضاف في المسح العلني الموسّع (أغسطس 2026). التخصص: علوم البيانات (Data Science). الدليل: test for T5 bootcamp … resolved git author name: Mariyyah Alrasheed</t>
  </si>
  <si>
    <t xml:space="preserve">مشعل العمر</t>
  </si>
  <si>
    <t xml:space="preserve">Meshal Alamr</t>
  </si>
  <si>
    <t xml:space="preserve">https://www.linkedin.com/in/meshalalamr/</t>
  </si>
  <si>
    <t xml:space="preserve">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https://github.com/MeshalAlamr/speech-emotion-recognition</t>
  </si>
  <si>
    <t xml:space="preserve">منال القحطاني</t>
  </si>
  <si>
    <t xml:space="preserve">Manal S AlQahtani</t>
  </si>
  <si>
    <t xml:space="preserve">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</si>
  <si>
    <t xml:space="preserve">منال اللحياني</t>
  </si>
  <si>
    <t xml:space="preserve">Manal Allahyani</t>
  </si>
  <si>
    <t xml:space="preserve">https://github.com/imnawar</t>
  </si>
  <si>
    <t xml:space="preserve">سجل مضاف في المسح العلني الموسّع (أغسطس 2026). التخصص: NLP, GANs, machine learning. الدليل: Repo 'Natural-Language-Processing-Specialization-Coursera-SDAIA'; COVID-19 Vaccines Tweets described as a 'T5 boot camp project' — https://github.com/imnawar/Natural-Language-Processing-Specialization-Coursera-SDAIA</t>
  </si>
  <si>
    <t xml:space="preserve">مها الحرقان</t>
  </si>
  <si>
    <t xml:space="preserve">Maha AlHarqan</t>
  </si>
  <si>
    <t xml:space="preserve">https://github.com/MahaAlHarqan</t>
  </si>
  <si>
    <t xml:space="preserve">كشف المركبات بلا لوحات بالتعلم العميق + مشاريع انحدار وتصنيف وNLP. التخصص: Artificial intelligence; T5 bootcamp EDA/ML/NLP/DL project series.</t>
  </si>
  <si>
    <t xml:space="preserve">نواف الشهري</t>
  </si>
  <si>
    <t xml:space="preserve">Nawaf Alshehri</t>
  </si>
  <si>
    <t xml:space="preserve">https://github.com/Nawaf9997</t>
  </si>
  <si>
    <t xml:space="preserve">سجل مضاف في المسح العلني الموسّع (أغسطس 2026). التخصص: Traffic analysis, Python/Pandas. الدليل: T5_SDAIA_Traffic_Anlysis — https://github.com/Nawaf9997/T5_SDAIA_Traffic_Anlysis</t>
  </si>
  <si>
    <t xml:space="preserve">نورة الخليفة</t>
  </si>
  <si>
    <t xml:space="preserve">Norah Alkhalifah</t>
  </si>
  <si>
    <t xml:space="preserve">https://sa.linkedin.com/in/norahalkhalifah</t>
  </si>
  <si>
    <t xml:space="preserve">خريجة وظّفتها سدايا نفسها. الانتساب مؤكد بمقتطف ترويسة مفهرس ومعرّف ملفها يطابق كشف الفصل تمامًا؛ المسمى وتاريخ البدء غير مؤكدين. — https://github.com/NorahAlkhalifah/Advertising_MTA</t>
  </si>
  <si>
    <t xml:space="preserve">نوف الخالدي</t>
  </si>
  <si>
    <t xml:space="preserve">Nouf Alkhaldi</t>
  </si>
  <si>
    <t xml:space="preserve">https://github.com/infoielham/NLP-SMS-Spam-Detection</t>
  </si>
  <si>
    <t xml:space="preserve">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t>
  </si>
  <si>
    <t xml:space="preserve">هيا المالكي</t>
  </si>
  <si>
    <t xml:space="preserve">Haya Almalki</t>
  </si>
  <si>
    <t xml:space="preserve">وليد الإخوان</t>
  </si>
  <si>
    <t xml:space="preserve">Waleed Al Ikhwan</t>
  </si>
  <si>
    <t xml:space="preserve">https://github.com/Waleed-ikh72</t>
  </si>
  <si>
    <t xml:space="preserve">مالك نسخة من المستودع</t>
  </si>
  <si>
    <t xml:space="preserve">عبدالرحمن القناص</t>
  </si>
  <si>
    <t xml:space="preserve">Abdulrahman Alqannas</t>
  </si>
  <si>
    <t xml:space="preserve">https://www.linkedin.com/in/abdulrahman-alqannas/</t>
  </si>
  <si>
    <t xml:space="preserve">أسرع أثر توظيفي في بيانات الأكاديمية: الالتحاق بعلم في سنة التخرج نفسها. بكالوريوس نظم معلومات إدارية — جامعة الإمام (2019). نشاطه في علوم البيانات مؤكد عبر Kaggle.</t>
  </si>
  <si>
    <t xml:space="preserve">منى المطيري</t>
  </si>
  <si>
    <t xml:space="preserve">Mona ALMUTAIRI</t>
  </si>
  <si>
    <t xml:space="preserve">2025 (~أكتوبر)</t>
  </si>
  <si>
    <t xml:space="preserve">https://www.linkedin.com/in/-mona-almutairi-</t>
  </si>
  <si>
    <t xml:space="preserve">منشور علني (~أكتوبر 2025) يوثّق إتمام برنامج تدريبي نظمته أكاديمية سدايا مع Groq: أساسيات LLM وواجهة Groq API والوكلاء والذاكرة/RAG والوكلاء الصوتيين. — https://www.linkedin.com/posts/-mona-almutairi-_aepaesaeyaeraepaejabraepaesaepaedaefaeuaepaehaey-ugcPost-7371144150433427456-ZxPM/</t>
  </si>
  <si>
    <t xml:space="preserve">البرنامج (Program)</t>
  </si>
  <si>
    <t xml:space="preserve">English</t>
  </si>
  <si>
    <t xml:space="preserve">مؤكد High</t>
  </si>
  <si>
    <t xml:space="preserve">مؤكد Medium</t>
  </si>
  <si>
    <t xml:space="preserve">الإجمالي المتحقق</t>
  </si>
  <si>
    <t xml:space="preserve">ملاحظات</t>
  </si>
  <si>
    <t xml:space="preserve">Data Engineering Bootcamp</t>
  </si>
  <si>
    <t xml:space="preserve">الدليل العلني على دفعة يناير 2025 (بالشراكة مع مايكروسوفت) شحيح؛ السجلان من مسح أغسطس 2026</t>
  </si>
  <si>
    <t xml:space="preserve">Data Engineering</t>
  </si>
  <si>
    <t xml:space="preserve">الغالبية من دفعات «هندسة البيانات الحديثة لأنظمة الذكاء الاصطناعي (DAICO)» يوليو–أغسطس 2026 عبر مشاريع تخرج علنية على GitHub</t>
  </si>
  <si>
    <t xml:space="preserve">Machine Learning Practitioner</t>
  </si>
  <si>
    <t xml:space="preserve">السجلات الداخلية (قوائم 2023) تضم مئات الخريجين لكن دون أدلة علنية؛ هنا العلني فقط</t>
  </si>
  <si>
    <t xml:space="preserve">LLM Professional Training</t>
  </si>
  <si>
    <t xml:space="preserve">برنامج سدايا×NVIDIA (NCA-GENL)؛ تحقق مباشر بالمتصفح 8 أغسطس 2026</t>
  </si>
  <si>
    <t xml:space="preserve">SDAIA T5 Bootcamp</t>
  </si>
  <si>
    <t xml:space="preserve">أوسع البرامج توثيقًا علنيًا (مستودعات فرق المشاريع + GitHub)</t>
  </si>
  <si>
    <t xml:space="preserve">LLM Bootcamp</t>
  </si>
  <si>
    <t xml:space="preserve">كما في ممارس تعلم الآلة: الأدلة العلنية أقل بكثير من السجلات الداخلية</t>
  </si>
  <si>
    <t xml:space="preserve">شهادة مصغرة في علم البيانات</t>
  </si>
  <si>
    <t xml:space="preserve">Data Science Micro-certificate</t>
  </si>
  <si>
    <t xml:space="preserve">لا وجود لأي أثر علني للبرنامج بهذا الاسم (بحث 8 أغسطس 2026 — 12 استعلامًا) — صفر خريجين قابلين للتوثيق علنيًا</t>
  </si>
  <si>
    <t xml:space="preserve">إجمالي الأفراد الفريدين (شخص واحد قد يُحسب في أكثر من برنامج)</t>
  </si>
  <si>
    <t xml:space="preserve">الاسم</t>
  </si>
  <si>
    <t xml:space="preserve">البرنامج</t>
  </si>
  <si>
    <t xml:space="preserve">أقوى دليل علني</t>
  </si>
  <si>
    <t xml:space="preserve">رابط الدليل</t>
  </si>
  <si>
    <t xml:space="preserve">الطبقة المصدرية</t>
  </si>
  <si>
    <t xml:space="preserve">درجة الثقة</t>
  </si>
  <si>
    <t xml:space="preserve">منشور علني (~فبراير 2026) يوثّق حصوله على شهادة اجتياز معسكر هندسة البيانات وتسلّمها ضمن مؤتمر ICAN. محلل هندسة بيانات بشهادات Microsoft (Azure، Power BI، SQL، Fabric).</t>
  </si>
  <si>
    <t xml:space="preserve">https://www.linkedin.com/posts/jehadalhazmi_sdaia-ican-dataengineer-ugcPost-7423615489144356864-Z5Fa/</t>
  </si>
  <si>
    <t xml:space="preserve">المسح العلني الموسّع — أغسطس 2026</t>
  </si>
  <si>
    <t xml:space="preserve">سجل مضاف في المسح العلني الموسّع (أغسطس 2026). التخصص: RAG للامتثال التنظيمي (SAMA) / معمارية Medallion. الدليل: SDAIA Modern Data Engineering Bootcamp — Final Capstone Project (June 2026)</t>
  </si>
  <si>
    <t xml:space="preserve">https://github.com/sarah1421/PRO_DATAENG_SDAIA</t>
  </si>
  <si>
    <t xml:space="preserve">سجل مضاف في المسح العلني الموسّع (أغسطس 2026). التخصص: هندسة البيانات (Kafka, Delta Lake, Great Expectations, OpenLineage). الدليل: **Student:** Btool Asiri ... SDAIA Academy capstone.</t>
  </si>
  <si>
    <t xml:space="preserve">https://github.com/Nfnf-56/capstone-retail-pipeline</t>
  </si>
  <si>
    <t xml:space="preserve">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</si>
  <si>
    <t xml:space="preserve">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</si>
  <si>
    <t xml:space="preserve">https://github.com/Alanoud-Alotaibi/sdaia-capstone-data-pipeline</t>
  </si>
  <si>
    <t xml:space="preserve">README: SDAIA Academy — Modern Data Engineering for AI Systems capstone، 2–6 أغسطس 2026</t>
  </si>
  <si>
    <t xml:space="preserve">https://github.com/Rayan-Shareefi/smart-university-knowledge-assistant</t>
  </si>
  <si>
    <t xml:space="preserve">المسح المستهدف — 8 أغسطس 2026</t>
  </si>
  <si>
    <t xml:space="preserve">مذكور بالاسم ضمن فريق مشروع التخرج في README المستودع أعلاه</t>
  </si>
  <si>
    <t xml:space="preserve">https://github.com/c3bod/sdaia-capstone-modern-data-engineering</t>
  </si>
  <si>
    <t xml:space="preserve">عضو فريق مشروع التخرج في README المستودع أعلاه</t>
  </si>
  <si>
    <t xml:space="preserve">https://github.com/AK7Amin/SDAIA-DATA-Engineering</t>
  </si>
  <si>
    <t xml:space="preserve">README: «'Modern Data Engineering for AI Systems' provided by SDAIA Academy … 2–6 August 2026»</t>
  </si>
  <si>
    <t xml:space="preserve">https://github.com/CsSaleh17/sdaia-product-safety-intelligence</t>
  </si>
  <si>
    <t xml:space="preserve">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</si>
  <si>
    <t xml:space="preserve">README مشروع التخرج: SDAIA Academy — Modern Data Engineering for AI Systems؛ المدرب محمد البلادي؛ مالك المستودع</t>
  </si>
  <si>
    <t xml:space="preserve">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</si>
  <si>
    <t xml:space="preserve">https://www.linkedin.com/posts/abdulaziz-aqs_ai-engineering-data-pipelines-llms-ugcPost-7485258707635802113-zP70/</t>
  </si>
  <si>
    <t xml:space="preserve">README: «Completed as the capstone project for Modern Data Engineering for AI Systems, SDAIA Academy (delivered via Learning Space)»</t>
  </si>
  <si>
    <t xml:space="preserve">https://github.com/Abdulaziz-Fadhli/flight-ops-intelligence</t>
  </si>
  <si>
    <t xml:space="preserve">README مشروع التخرج «Capstone for the SDAIA Academy program Modern Data Engineering for AI Systems» — 2–6 أغسطس 2026؛ قائد الفريق</t>
  </si>
  <si>
    <t xml:space="preserve">سجل مضاف في المسح العلني الموسّع (أغسطس 2026). التخصص: هندسة البيانات (Kafka, Delta lakehouse, RAG, Airflow). الدليل: **Student:** Ghala Alawad ... SDAIA Academy capstone</t>
  </si>
  <si>
    <t xml:space="preserve">https://github.com/GhalaAwd/Capstone-Project-Modern-Data-Engineering-for-AI-Systems</t>
  </si>
  <si>
    <t xml:space="preserve">README: «Completed as the capstone project for Modern Data Engineering for AI Systems, SDAIA Academy» — عمل فردي</t>
  </si>
  <si>
    <t xml:space="preserve">https://github.com/Mohammed-07th/hajj-crowd-ops-platform</t>
  </si>
  <si>
    <t xml:space="preserve">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t>
  </si>
  <si>
    <t xml:space="preserve">https://github.com/muneeran285-dev</t>
  </si>
  <si>
    <t xml:space="preserve">سجل مضاف في المسح العلني الموسّع (أغسطس 2026). التخصص: هندسة البيانات (Kafka, Delta Lake, RAG, Airflow). الدليل: مشروع تخرج (Capstone) لبرنامج SDAIA Academy — Modern Data Engineering for AI Systems</t>
  </si>
  <si>
    <t xml:space="preserve">https://github.com/haifaahmed772-code/capstone-data-engineering-cats</t>
  </si>
  <si>
    <t xml:space="preserve">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</si>
  <si>
    <t xml:space="preserve">https://github.com/HSKdeveloper/student-extra-ex</t>
  </si>
  <si>
    <t xml:space="preserve">توثيق مرتفع (علني)</t>
  </si>
  <si>
    <t xml:space="preserve">سجل مضاف في المسح العلني الموسّع (أغسطس 2026). التخصص: Machine Learning, EDA. الدليل: SDAIA-ML-Bootcamp — completed multiple assignments and expanded my code to enhance accuracy and enhance my understanding of machine learning techniques</t>
  </si>
  <si>
    <t xml:space="preserve">https://github.com/Abdullah-Al-Muaddi/SDAIA-ML-Bootcamp</t>
  </si>
  <si>
    <t xml:space="preserve">سجل مضاف في المسح العلني الموسّع (أغسطس 2026). التخصص: Machine Learning, AI research. الدليل: Machine-Learning-Bootcamp15_SDAIA — profile states participation in Machine Learning Bootcamp 15 through SDAIA</t>
  </si>
  <si>
    <t xml:space="preserve">https://github.com/FatimaALzahrani/Machine-Learning-Bootcamp15_SDAIA</t>
  </si>
  <si>
    <t xml:space="preserve">سجل مضاف في المسح العلني الموسّع (أغسطس 2026). التخصص: تعلم الآلة / Machine Learning. الدليل: # BootCamp-ML-SDAIA — Machine Learning BootCamp from SDAIA</t>
  </si>
  <si>
    <t xml:space="preserve">https://github.com/LuluwaM/BootCamp-ML-SDAIA</t>
  </si>
  <si>
    <t xml:space="preserve">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</si>
  <si>
    <t xml:space="preserve">https://github.com/Lina-Askar/sdaia-ml-bootcamp-project</t>
  </si>
  <si>
    <t xml:space="preserve">سجل مضاف في المسح العلني الموسّع (أغسطس 2026). التخصص: تعلم الآلة / التصنيف. الدليل: The third project at SDAIA bootcamp T5 , data science, artificial intelligence, machine learning — Team: Eng. Nasser Alqahtani, Mohammed Alzabyedi</t>
  </si>
  <si>
    <t xml:space="preserve">https://github.com/nasseralq</t>
  </si>
  <si>
    <t xml:space="preserve">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</si>
  <si>
    <t xml:space="preserve">https://linktr.ee/itsahab1</t>
  </si>
  <si>
    <t xml:space="preserve">سجل مضاف في المسح العلني الموسّع (أغسطس 2026). الدليل: Owns 'SDAIAI-T5-BOOTCAMP-WEAK1-Project' plus SDAIA-Weak2/3/4/5 weekly bootcamp repos. Profile display name 'Abdulaziz Alothman', bio 'Ai student'.</t>
  </si>
  <si>
    <t xml:space="preserve">https://github.com/2xazo/SDAIAI-T5-BOOTCAMP-WEAK1-Project</t>
  </si>
  <si>
    <t xml:space="preserve">سجل مضاف في المسح العلني الموسّع (أغسطس 2026). الدليل: Repo description: 'T5 bootcamp offered by sdaia'. Profile display name 'Abdulaziz Alsidais'.</t>
  </si>
  <si>
    <t xml:space="preserve">https://github.com/azooz1422/t5_bootcamp</t>
  </si>
  <si>
    <t xml:space="preserve">سجل مضاف في المسح العلني الموسّع (أغسطس 2026). الدليل: Repo 'T5-bootcamp' described 'All T5 bootcamp repos'. Profile: Abdulrahman Al-Sallum, 'Electronics Engineer - Python Programmer | AI and Machine Learning', Riyadh.</t>
  </si>
  <si>
    <t xml:space="preserve">https://github.com/Dalsallum/T5-bootcamp</t>
  </si>
  <si>
    <t xml:space="preserve">سجل مضاف في المسح العلني الموسّع (أغسطس 2026). الدليل: Repo description: 'EDA project for SDAIA T5 bootcamp'. Profile display name 'abeer alruwayti', Riyadh, Saudi Arabia.</t>
  </si>
  <si>
    <t xml:space="preserve">https://github.com/abeer-saleh/EDA_Project</t>
  </si>
  <si>
    <t xml:space="preserve">سجل مضاف في المسح العلني الموسّع (أغسطس 2026). الدليل: Repo description: 'This repo is one of the T5 Bootcamp requirements.' Profile: Aljawhara Alsultan, Saudi Arabia.</t>
  </si>
  <si>
    <t xml:space="preserve">https://github.com/Aljawhara-CS/Proposal</t>
  </si>
  <si>
    <t xml:space="preserve">سجل مضاف في المسح العلني الموسّع (أغسطس 2026). الدليل: Repo description: 'EDA project for T5 bootcamp SDAIA Academy'. GitHub profile bio: 'Junior Data Scientist at SDAIA Academy. Bachelor in Computer Engineering.'</t>
  </si>
  <si>
    <t xml:space="preserve">https://github.com/iamal95/Explore-ML-DS-kaggle-surveys-2020-2021-Saudi-Arabia</t>
  </si>
  <si>
    <t xml:space="preserve">سجل مضاف في المسح العلني الموسّع (أغسطس 2026). الدليل: Repo description: 'This project is one of the T5 Bootcamp requirements it's talking about CVE'. Profile: Aml Abdullah Alrefaie, 'Cyber Security master student', KAU, Jeddah.</t>
  </si>
  <si>
    <t xml:space="preserve">https://github.com/amalAlrefaie/project</t>
  </si>
  <si>
    <t xml:space="preserve">سجل مضاف في المسح العلني الموسّع (أغسطس 2026). الدليل: Owns repo 'T5-Data-Science-Bootcamp' described 'T5 Data Science Bootcamp - Project'. Profile: Amnah Aldayri, Riyadh, 'Information Technology programmer, interested in AI'.</t>
  </si>
  <si>
    <t xml:space="preserve">https://github.com/Amnah-Aldayri/T5-Data-Science-Bootcamp</t>
  </si>
  <si>
    <t xml:space="preserve">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</si>
  <si>
    <t xml:space="preserve">https://github.com/AtheerAlzhrani/sign-language-recognition-project--Public</t>
  </si>
  <si>
    <t xml:space="preserve">سجل مضاف في المسح العلني الموسّع (أغسطس 2026). الدليل: Repo description: 'final project for T5 bootcamp, a sign language recognition app using python, Mediapipe and RNN model'. Profile: Dania Fallata, 'data scientist'.</t>
  </si>
  <si>
    <t xml:space="preserve">https://github.com/Dania-fallata/sign-language-recognition-project-</t>
  </si>
  <si>
    <t xml:space="preserve">سجل مضاف في المسح العلني الموسّع (أغسطس 2026). الدليل: Repo description: 'T5 Bootcamp Final Capstone Project' (Saudi Solar Vision). Profile: Dina Bokhamseen, 'Jr. Data Scientist'.</t>
  </si>
  <si>
    <t xml:space="preserve">https://github.com/dinag50/Saudi_Solar_Vision_Project</t>
  </si>
  <si>
    <t xml:space="preserve">سجل مضاف في المسح العلني الموسّع (أغسطس 2026). الدليل: Repo description: 'This Project is for the project of T5 Bootcamp requirements.' Profile: Kholood Alhejori, MSc Computer Science, Saudi Arabia.</t>
  </si>
  <si>
    <t xml:space="preserve">https://github.com/kholoodr/Data-Science-Bootcamp</t>
  </si>
  <si>
    <t xml:space="preserve">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t>
  </si>
  <si>
    <t xml:space="preserve">سجل مضاف في المسح العلني الموسّع (أغسطس 2026). الدليل: Owns 'Classification-Project-T5-bootamp', 'linear-regression-T5-bootcamp' ('as part of T5 Bootcamp, Arwa and I built linear regression models'), 'EDA-MTA-T5bootcamp'. Profile: Nouf Alsaeed, Riyadh.</t>
  </si>
  <si>
    <t xml:space="preserve">https://github.com/NoufAlsaeed/Classification-Project-T5-bootamp</t>
  </si>
  <si>
    <t xml:space="preserve">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</si>
  <si>
    <t xml:space="preserve">https://github.com/Nouraibn/WasteFireDetection</t>
  </si>
  <si>
    <t xml:space="preserve">سجل مضاف في المسح العلني الموسّع (أغسطس 2026). الدليل: Repo description: 'Saudi Solar Vision - T5 bootcamp capstone project' (same capstone team as Dina Bokhamseen). Profile: Raghad Salem, Data Analyst, Saudi Arabia.</t>
  </si>
  <si>
    <t xml:space="preserve">سجل مضاف في المسح العلني الموسّع (أغسطس 2026). الدليل: Repo description: 'This project is one of the projects that I worked on T5 bootcamp'. Profile: Rahaf Alluqmani, KSA, 'Passionate about AI and Data science'.</t>
  </si>
  <si>
    <t xml:space="preserve">https://github.com/RahafLog/Sentiment_Analysis_from_Tweets</t>
  </si>
  <si>
    <t xml:space="preserve">سجل مضاف في المسح العلني الموسّع (أغسطس 2026). الدليل: Owns repo 'sdaia_T5' described 'Intensive educational programs to build national capabilities proficient in developing AI'. Profile display name 'Rahaf Alzahrani'.</t>
  </si>
  <si>
    <t xml:space="preserve">https://github.com/rhf24/sdaia_T5</t>
  </si>
  <si>
    <t xml:space="preserve">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</si>
  <si>
    <t xml:space="preserve">سجل مضاف في المسح العلني الموسّع (أغسطس 2026). الدليل: Owns repos 2,4,5 each described 'Project(N) for T5 Data Science Bootcamp - SDAIA Academy'. Profile display name 'Shaima Alabedi'.</t>
  </si>
  <si>
    <t xml:space="preserve">سجل مضاف في المسح العلني الموسّع (أغسطس 2026). الدليل: Owns repo 'SDAIA-T5-Camps-Data-Science'. Profile display name 'Shumukh Alsulami'.</t>
  </si>
  <si>
    <t xml:space="preserve">https://github.com/XSH99/SDAIA-T5-Camps-Data-Science</t>
  </si>
  <si>
    <t xml:space="preserve">سجل مضاف في المسح العلني الموسّع (أغسطس 2026). الدليل: Owns repo 'T5Bootcamp-Data-Science-and-Artifical-intelligence-in-SDAIA'. Profile bio: 'Fresh graduate computer science and AI track at MU, Coop training at SDAIA | Machine learning | Data analyst...', Riyadh.</t>
  </si>
  <si>
    <t xml:space="preserve">https://github.com/Tahani344/T5Bootcamp-Data-Science-and-Artifical-intelligence-in-SDAIA</t>
  </si>
  <si>
    <t xml:space="preserve">سجل مضاف في المسح العلني الموسّع (أغسطس 2026). الدليل: Owns repo 'Sahel' described 'T5-Capstone Project'. Profile: Wafa Saif ALDABAHI, Riyadh, 'MSc Computer Scientist specializing in cybersecurity, digital forensics, and data-driven ML'.</t>
  </si>
  <si>
    <t xml:space="preserve">https://github.com/WafaSaif/Sahel</t>
  </si>
  <si>
    <t xml:space="preserve">سجل مضاف في المسح العلني الموسّع (أغسطس 2026). الدليل: GreenGuard capstone README Team Members: 'Yazeed Alshurify (@Yazeedssh)'; README states the project was developed during the 'SDAIA T5 bootcamp'.</t>
  </si>
  <si>
    <t xml:space="preserve">سجل مضاف في المسح العلني الموسّع (أغسطس 2026). التخصص: Data Science / AI. الدليل: Title: "Data Science and Artificial Intelligence T5 Bootcamp at Sdaia", 2023-present</t>
  </si>
  <si>
    <t xml:space="preserve">https://www.zoominfo.com/p/Atheer-Alkthiri/10746826484</t>
  </si>
  <si>
    <t xml:space="preserve">سجل مضاف في المسح العلني الموسّع (أغسطس 2026). التخصص: التصنيف وكشف الاحتيال (Classification / Fraud Detection). الدليل: SDAIA T5 Data Science Bootcamp … Done By: [Wafaa Alharbi] &amp; [Afnan Alsirhani]</t>
  </si>
  <si>
    <t xml:space="preserve">https://github.com/AfnanAlsirhani</t>
  </si>
  <si>
    <t xml:space="preserve">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</si>
  <si>
    <t xml:space="preserve">https://github.com/emanalshehrii/Hotel-Reviews-Unsupervised-NLP-Project</t>
  </si>
  <si>
    <t xml:space="preserve">سجل مضاف في المسح العلني الموسّع (أغسطس 2026). التخصص: التعلم العميق / NLP والتجميع. الدليل: ## SDAIA Academy Bootcamp T5 | Deep Learning Project ... ## By: - Amal Altamran (github.com/amal2121)</t>
  </si>
  <si>
    <t xml:space="preserve">https://github.com/NoBaSh-DS/Deep-Learning-Project</t>
  </si>
  <si>
    <t xml:space="preserve">سجل مضاف في المسح العلني الموسّع (أغسطس 2026). التخصص: التعلم العميق / توليد وصف الصور. الدليل: ## SDAIA Academy Bootcamp T5 | Deep Learning Project ... ## By: - Amirah Alotaibi (github.com/amirahSaad)</t>
  </si>
  <si>
    <t xml:space="preserve">سجل مضاف في المسح العلني الموسّع (أغسطس 2026). التخصص: معالجة اللغات الطبيعية. الدليل: Repo description: 'Project(4) for T5 Data Science Bootcamp - SDAIA Academy'; README '## Team Members ... - @Eman Albarakah (github.com/Eeeemsa)'</t>
  </si>
  <si>
    <t xml:space="preserve">https://github.com/shaimaalabedi/Unsupervised_NLP-Drug-Review</t>
  </si>
  <si>
    <t xml:space="preserve">سجل مضاف في المسح العلني الموسّع (أغسطس 2026). التخصص: التعلم العميق / توليد وصف الصور. الدليل: ## SDAIA Academy Bootcamp T5 | Deep Learning Project ... ## By: - Alanoud Alhussain (github.com/Alanoud-Aziz)</t>
  </si>
  <si>
    <t xml:space="preserve">سجل مضاف في المسح العلني الموسّع (أغسطس 2026). التخصص: علوم البيانات والتصنيف / Data Science, Classification. الدليل: SDAIA T5 Data Science Bootcamp Classification Project</t>
  </si>
  <si>
    <t xml:space="preserve">https://github.com/AlnirahM/Classification-Project</t>
  </si>
  <si>
    <t xml:space="preserve">سجل مضاف في المسح العلني الموسّع (أغسطس 2026). التخصص: التصنيف / التعلم العميق. الدليل: ## SDAIA Academy Bootcamp T5 | Deep Learning Project ... ## By: - Batoul AlOsaimi (github.com/batoull22)</t>
  </si>
  <si>
    <t xml:space="preserve">سجل مضاف في المسح العلني الموسّع (أغسطس 2026). التخصص: التعلم العميق / Deep Learning. الدليل: The Final project - T5 Data Science Bootcamp — By: Wafa Albattah / Taghreed Albaiz / Leena Alshwaihi</t>
  </si>
  <si>
    <t xml:space="preserve">https://github.com/talbaiz/Deep-Learning</t>
  </si>
  <si>
    <t xml:space="preserve">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</si>
  <si>
    <t xml:space="preserve">https://github.com/jameela-masar/T5-SDAIA-Classification-Miscarriage</t>
  </si>
  <si>
    <t xml:space="preserve">سجل مضاف في المسح العلني الموسّع (أغسطس 2026). التخصص: Data Science / AI. الدليل: "participated in the 'Data Science and Artificial Intelligence T5 Bootcamp at SDAIA' which she completed in December 2023"; Data Analyst at RMG since February 2024</t>
  </si>
  <si>
    <t xml:space="preserve">https://theorg.com/org/renad-al-majd-for-information-technology/org-chart/hessa-alrasheed</t>
  </si>
  <si>
    <t xml:space="preserve">سجل مضاف في المسح العلني الموسّع (أغسطس 2026). التخصص: Data Science / AI. الدليل: "participated in the SDAIA T5 Data Science and Artificial Intelligence Bootcamp" (2023); AI Engineer at GeoTech 2024-present</t>
  </si>
  <si>
    <t xml:space="preserve">https://www.zoominfo.com/p/Hamad-Alyemni/8823269392</t>
  </si>
  <si>
    <t xml:space="preserve">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t>
  </si>
  <si>
    <t xml:space="preserve">https://github.com/NasserAlsaqer/Detect-Violated-Motorbikes-Delivery-RASYD</t>
  </si>
  <si>
    <t xml:space="preserve">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</si>
  <si>
    <t xml:space="preserve">https://github.com/RetajALAnzai/SDAIA</t>
  </si>
  <si>
    <t xml:space="preserve">سجل مضاف في المسح العلني الموسّع (أغسطس 2026). التخصص: علوم البيانات والانحدار / Data Science, Regression. الدليل: ## Regression Project | T5-Bootcamp-SDAIA</t>
  </si>
  <si>
    <t xml:space="preserve">https://github.com/ruqaiah22/Regression_project</t>
  </si>
  <si>
    <t xml:space="preserve">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</si>
  <si>
    <t xml:space="preserve">https://www.spa.gov.sa/N2199008</t>
  </si>
  <si>
    <t xml:space="preserve">سجل مضاف في المسح العلني الموسّع (أغسطس 2026). التخصص: تعلم الآلة / التصنيف. الدليل: This is the third project that is done during the T5 data science bootcamp ... Created by: Banan Alhethlool, Randa Almohammadi</t>
  </si>
  <si>
    <t xml:space="preserve">https://github.com/rmalmoha</t>
  </si>
  <si>
    <t xml:space="preserve">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t>
  </si>
  <si>
    <t xml:space="preserve">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</si>
  <si>
    <t xml:space="preserve">https://github.com/Alya11salem/EDA.project_Quarterly-Statistical-Report</t>
  </si>
  <si>
    <t xml:space="preserve">سجل مضاف في المسح العلني الموسّع (أغسطس 2026). التخصص: التصنيف / تحليل البيانات. الدليل: SDAIA T5 Data Science Bootcamp Classfication Project by ... ## Prepared by * Mashael Asiri * Ohood Alharbi * Nadiah Ajrasiaa</t>
  </si>
  <si>
    <t xml:space="preserve">https://github.com/Mashael2030/Diabetes-Health-Indicators-Classfication</t>
  </si>
  <si>
    <t xml:space="preserve">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</si>
  <si>
    <t xml:space="preserve">https://github.com/MahaAlHarqan/T5Bootcamp-ML-Regression-for-Capital_Bikeshare</t>
  </si>
  <si>
    <t xml:space="preserve">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</si>
  <si>
    <t xml:space="preserve">https://github.com/aofahad/NLP_Project</t>
  </si>
  <si>
    <t xml:space="preserve">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</si>
  <si>
    <t xml:space="preserve">https://github.com/marama09</t>
  </si>
  <si>
    <t xml:space="preserve">سجل مضاف في المسح العلني الموسّع (أغسطس 2026). التخصص: رؤية الحاسب — كشف حرائق النفايات. الدليل: Repo description: 'Capstone T5 project - SDAIA' (owner profile shows name 'Mashael Alnasser')</t>
  </si>
  <si>
    <t xml:space="preserve">https://github.com/alnassermashael/Waste-Fire-Detection</t>
  </si>
  <si>
    <t xml:space="preserve">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</si>
  <si>
    <t xml:space="preserve">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</si>
  <si>
    <t xml:space="preserve">https://github.com/ModiHb/T5_classification</t>
  </si>
  <si>
    <t xml:space="preserve">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</si>
  <si>
    <t xml:space="preserve">https://github.com/muntahajaber</t>
  </si>
  <si>
    <t xml:space="preserve">تقرير التوظيف المبكر 2021–2026</t>
  </si>
  <si>
    <t xml:space="preserve">سجل مضاف في المسح العلني الموسّع (أغسطس 2026). التخصص: Data Science. الدليل: Data Science Bootcamp T5 at SDAIA Academy (2021-2022); Technical Support Engineer at Afaqy 2023-present</t>
  </si>
  <si>
    <t xml:space="preserve">https://www.zoominfo.com/p/Munirah-Alzhrani/13639496670</t>
  </si>
  <si>
    <t xml:space="preserve">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t>
  </si>
  <si>
    <t xml:space="preserve">انتساب ذاتي مؤكد</t>
  </si>
  <si>
    <t xml:space="preserve">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</si>
  <si>
    <t xml:space="preserve">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</si>
  <si>
    <t xml:space="preserve">https://theorg.com/org/mozn/org-chart/nisreen-alsayegh</t>
  </si>
  <si>
    <t xml:space="preserve">سجل مضاف في المسح العلني الموسّع (أغسطس 2026). التخصص: التعلم العميق. الدليل: ## SDAIA Academy Bootcamp T5 | Deep Learning Project ... ## By: - Norah Alqahtani (github.com/99norah)</t>
  </si>
  <si>
    <t xml:space="preserve">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</si>
  <si>
    <t xml:space="preserve">https://github.com/halaalanzi/Face-Detector-Deep-Learning-Project</t>
  </si>
  <si>
    <t xml:space="preserve">سجل مضاف في المسح العلني الموسّع (أغسطس 2026). التخصص: النماذج اللغوية الكبيرة / Large Language Models. الدليل: here are all the projects i did while i was in SDAIA LLM bootcamp</t>
  </si>
  <si>
    <t xml:space="preserve">https://github.com/renad30/SDAIA_LLM_projects</t>
  </si>
  <si>
    <t xml:space="preserve">سجل مضاف في المسح العلني الموسّع (أغسطس 2026). التخصص: النماذج اللغوية الكبيرة / LLM processing. الدليل: SDAIA_LLM_BOOTCAMP_projects</t>
  </si>
  <si>
    <t xml:space="preserve">https://github.com/IDE21/LLM-Processing</t>
  </si>
  <si>
    <t xml:space="preserve">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</si>
  <si>
    <t xml:space="preserve">https://tu.edu.sa/En/Computer-Science/243/Pages/21459/Faculty-Members</t>
  </si>
  <si>
    <t xml:space="preserve">مسح GitHub يونيو–يوليو 2026</t>
  </si>
  <si>
    <t xml:space="preserve">مستودع SDAIA-projects — README: «SDAIA Academy — Data Engineering for AI Systems (DAICO)» (23 يوليو 2026). (شخص مختلف عن «الجوهرة Aljwharah-h» و«الجوهرة البهلال» المسجلتين سابقًا.)</t>
  </si>
  <si>
    <t xml:space="preserve">مستودع باسم Sdaia_Data_Engineering ينفّذ مواصفات مشروع التخرج نفسها (Kafka/Delta/RAG/Airflow) — الارتباط استنتاجي قوي</t>
  </si>
  <si>
    <t xml:space="preserve">https://github.com/sdaa24/Sdaia_Data_Engineering_Food-Delivery-Pipeline.ipynb</t>
  </si>
  <si>
    <t xml:space="preserve">مشروع خط بيانات الكتب — فريق ثلاثي بأسماء كاملة: رنيم الشدي، دانة الجميعة، هيا الجريسي (22–23 يوليو 2026).</t>
  </si>
  <si>
    <t xml:space="preserve">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</si>
  <si>
    <t xml:space="preserve">https://github.com/Reem-Alamri/customer-support-intelligence-platform-v2</t>
  </si>
  <si>
    <t xml:space="preserve">خط بيانات الكهرباء — README: «Trainee: Reema Alessa · Training Program: Modern Data Engineering for AI Systems – SDAIA Academy · 19-07-2026 → 23-07-2026».</t>
  </si>
  <si>
    <t xml:space="preserve">https://github.com/realessa/electricity-enginering-</t>
  </si>
  <si>
    <t xml:space="preserve">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</si>
  <si>
    <t xml:space="preserve">https://github.com/ZiyadAlmoneef</t>
  </si>
  <si>
    <t xml:space="preserve">مشروع تخرج University Hub — «SDAIA Academy | Learning Space»؛ فريق ثلاثي مع لجين الدجين وعايدة السويد (22–26 يوليو 2026).</t>
  </si>
  <si>
    <t xml:space="preserve">https://github.com/SarahAlBukhaytan/University_Hub</t>
  </si>
  <si>
    <t xml:space="preserve">مساعد البحث العلمي (خط Bronze/Silver/Gold + RAG) — README: «Organization: SDAIA Academy»؛ فريق ثلاثي: سارة البهلال، سارة المحرب، حصة الشدي (23 يوليو 2026). (شخص مختلف عن «الجوهرة البهلال» 2023.)</t>
  </si>
  <si>
    <t xml:space="preserve">مشروع تخرج DAICO — فريق ثلاثي: سارة الخضيري، رهف الفالح، بسمة الهندي (21–23 يوليو 2026). التخصص: Data engineering — Delta Lakehouse pipelines and RAG question answering over arXiv papers.</t>
  </si>
  <si>
    <t xml:space="preserve">مسماة في README مشروعين مستقلين: فريق University Hub (هندسة البيانات DAICO، يوليو) وفريق ورشة Vibe Coding الرباعي (يونيو–يوليو) — انتساب مزدوج يعزز التوثيق.</t>
  </si>
  <si>
    <t xml:space="preserve">https://github.com/Shatha-1/sdaia-vibe-coding</t>
  </si>
  <si>
    <t xml:space="preserve">منشور علني (3 أغسطس 2026) يوثّق التحاقه باليوم الأول من البرنامج (معمارية Lakehouse وDelta Lake وPySpark). متدرب حالي — لم يكتمل البرنامج بعد.</t>
  </si>
  <si>
    <t xml:space="preserve">https://www.linkedin.com/posts/abdulrahman-bajunaid_aevaeuaexaebaerabraepaesaeqaeyaepaeuaepaes-share-7489694991158738944-64RZ/</t>
  </si>
  <si>
    <t xml:space="preserve">سجل مضاف في المسح العلني الموسّع (أغسطس 2026). التخصص: هندسة البيانات / Data Engineering. الدليل: SDAIA Course (repository description of Data-Enginnering)</t>
  </si>
  <si>
    <t xml:space="preserve">https://github.com/Ohoud-Almohammadi/Data-Enginnering</t>
  </si>
  <si>
    <t xml:space="preserve">مشروع تخرج Hospital RAG — README يوثّق الدورة 19–23 يوليو 2026؛ فريق ثلاثي مع غيداء الواصل وسارة الساعد.</t>
  </si>
  <si>
    <t xml:space="preserve">مشروع تخرج DAICO — README: «SDAIA Academy — Modern Data Engineering for AI Systems (DAICO)» (22–23 يوليو 2026).</t>
  </si>
  <si>
    <t xml:space="preserve">مشروع ShopStream لبيانات التجزئة — README: «Training Program: Modern Data Engineering for AI Systems · SDAIA Academy · June 2026» — يوثّق دفعة يونيو 2026 من البرنامج.</t>
  </si>
  <si>
    <t xml:space="preserve">https://github.com/Ghaida2244/ShopStream</t>
  </si>
  <si>
    <t xml:space="preserve">مشروع توظيف ذكي — README: «Modern Data Engineering for AI Systems — SDAIA Academy, DICO … المدرب محمد البلادي»؛ فريق ثنائي مع روا المحيميد (22 يوليو 2026).</t>
  </si>
  <si>
    <t xml:space="preserve">مشروع تخرج University Hub (فريق ثلاثي) — 22–26 يوليو 2026.</t>
  </si>
  <si>
    <t xml:space="preserve">مشروع أنظمة اللوائح الجامعية — فريق رباعي: ليان العمر، وجد العتيبي، العذوب العصيمي، ريما قبلان (22–23 يوليو 2026). التخصص: AI, Software Engineering, Research.</t>
  </si>
  <si>
    <t xml:space="preserve">مساعد معرفي Lakehouse لقطاع النقل — README بالعربية يسمي الفريق: ناديه الغامدي، ابتسام محمد الزهراني، منار المطيري؛ «part of Modern Data Engineering for AI systems provided by SDAIA» (4–5 يوليو 2026).</t>
  </si>
  <si>
    <t xml:space="preserve">مشروع توصيل الطعام — README: «Students: Noura Almuqbil, Moudi Alhomoud, Shahad Alotaish · Program: Modern Data Engineering for AI Systems — SDAIA Academy · Trainer: Mohammed Albeladi · 19–23 July 2026».</t>
  </si>
  <si>
    <t xml:space="preserve">🆕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t>
  </si>
  <si>
    <t xml:space="preserve">https://github.com/waadalsaif1-beep/DAICO-website</t>
  </si>
  <si>
    <t xml:space="preserve">اكتشافات يوليو 2026</t>
  </si>
  <si>
    <t xml:space="preserve">سجل مضاف في المسح العلني الموسّع (أغسطس 2026). التخصص: تعلم الآلة / Machine Learning. الدليل: # SDAIA_ML_bootcamp_Assignments (repository of assignments from the SDAIA ML bootcamp, authored by Dania Alsahfy per public commit history)</t>
  </si>
  <si>
    <t xml:space="preserve">https://github.com/Dania166/SDAIA_ML_bootcamp_Assignments</t>
  </si>
  <si>
    <t xml:space="preserve">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</si>
  <si>
    <t xml:space="preserve">https://github.com/GitReema-code/MachineLearning</t>
  </si>
  <si>
    <t xml:space="preserve">أتمّت معسكر تعلم الآلة أثناء دراستها الجامعية. التخصص: Data Science, Data Analysis, AI, ML.</t>
  </si>
  <si>
    <t xml:space="preserve">https://github.com/Sadcem</t>
  </si>
  <si>
    <t xml:space="preserve">توثيق متوسط</t>
  </si>
  <si>
    <t xml:space="preserve">سجل مضاف في المسح العلني الموسّع (أغسطس 2026). الدليل: Repo 'Data_Science_Bootcamp' described 'T5 Bootcamp'. Profile display name 'Abdulmajeed Alharbi'.</t>
  </si>
  <si>
    <t xml:space="preserve">https://github.com/iMJOOD/Data_Science_Bootcamp</t>
  </si>
  <si>
    <t xml:space="preserve">سجل مضاف في المسح العلني الموسّع (أغسطس 2026). الدليل: Repo description: 'T5 bootcamp project'. Profile display name 'Abdulrahman Almutiri', Saudi Arabia.</t>
  </si>
  <si>
    <t xml:space="preserve">https://github.com/engdhom9/T5-Project</t>
  </si>
  <si>
    <t xml:space="preserve">سجل مضاف في المسح العلني الموسّع (أغسطس 2026). الدليل: Repo description: 'First Project of T5 Bootcamp'. Name derived from GitHub handle Ahmed-Almatar (no display name set).</t>
  </si>
  <si>
    <t xml:space="preserve">https://github.com/Ahmed-Almatar/T5_Project-1</t>
  </si>
  <si>
    <t xml:space="preserve">سجل مضاف في المسح العلني الموسّع (أغسطس 2026). الدليل: Repo description: 'This project developed a chatbot to assist students in the T5 Bootcamp program', trained on T5 course materials. Name derived from GitHub handle AhoodAlsuhaibani.</t>
  </si>
  <si>
    <t xml:space="preserve">https://github.com/AhoodAlsuhaibani/TeacherAssistantChatbot</t>
  </si>
  <si>
    <t xml:space="preserve">سجل مضاف في المسح العلني الموسّع (أغسطس 2026). الدليل: Repo 'Data-Science-Bootcamps-for-SDAIA-Academy'. Name derived from handle FadhelAleid (no display name set).</t>
  </si>
  <si>
    <t xml:space="preserve">https://github.com/FadhelAleid/Data-Science-Bootcamps-for-SDAIA-Academy</t>
  </si>
  <si>
    <t xml:space="preserve">سجل مضاف في المسح العلني الموسّع (أغسطس 2026). الدليل: Owns repo 'T5Camp_DataScience' - 'This is to share Data Science Project deliverables'. Profile display name 'Fatimah Alhamadeh'.</t>
  </si>
  <si>
    <t xml:space="preserve">https://github.com/falhamadeh/T5Camp_DataScience</t>
  </si>
  <si>
    <t xml:space="preserve">سجل مضاف في المسح العلني الموسّع (أغسطس 2026). الدليل: Repo description: 'T5 bootcamp project'. Profile display name 'Jawaher Alhuthayfi'.</t>
  </si>
  <si>
    <t xml:space="preserve">https://github.com/jwaherr/HR-Analytics-for-Employee-Retention</t>
  </si>
  <si>
    <t xml:space="preserve">سجل مضاف في المسح العلني الموسّع (أغسطس 2026). الدليل: Owns repo 'AI_DataScience_T5_Bootcamp'. Profile: 'Khuzama Khuzamaalk', 'Data Scientist | Turning data into insights', Riyadh. Surname truncated on profile.</t>
  </si>
  <si>
    <t xml:space="preserve">https://github.com/Khuzamaalk/AI_DataScience_T5_Bootcamp</t>
  </si>
  <si>
    <t xml:space="preserve">سجل مضاف في المسح العلني الموسّع (أغسطس 2026). الدليل: Repo 'T5' described 'T5 bootcamp'. Profile display name 'Lubna Alhenaki'; other repos on Arabic NLP.</t>
  </si>
  <si>
    <t xml:space="preserve">https://github.com/LubnaAlhenaki/T5</t>
  </si>
  <si>
    <t xml:space="preserve">سجل مضاف في المسح العلني الموسّع (أغسطس 2026). الدليل: Repo 'DataScience' described 'T5 BootCamp Project'. Name derived from GitHub handle MalikAlansari (no display name set).</t>
  </si>
  <si>
    <t xml:space="preserve">https://github.com/MalikAlansari/DataScience</t>
  </si>
  <si>
    <t xml:space="preserve">سجل مضاف في المسح العلني الموسّع (أغسطس 2026). الدليل: Repo 'T5-Bootcamp' described 'T5 Bootcamp'. Name derived from GitHub handle MohammedAlrakan (no display name set).</t>
  </si>
  <si>
    <t xml:space="preserve">https://github.com/MohammedAlrakan/T5-Bootcamp</t>
  </si>
  <si>
    <t xml:space="preserve">سجل مضاف في المسح العلني الموسّع (أغسطس 2026). الدليل: Repo description: 'The third project in SDAIA T5 bootcamp'. Name derived from GitHub handle Naif-Albader (no display name set).</t>
  </si>
  <si>
    <t xml:space="preserve">https://github.com/Naif-Albader/Classification_Project</t>
  </si>
  <si>
    <t xml:space="preserve">سجل مضاف في المسح العلني الموسّع (أغسطس 2026). الدليل: Repo 'SDAIA-T5-Data-Science-Bootcamp' - portfolio of T5 Bootcamp data science projects. Name derived from handle Noufalshabani (no display name set).</t>
  </si>
  <si>
    <t xml:space="preserve">سجل مضاف في المسح العلني الموسّع (أغسطس 2026). الدليل: Owns repo 'T5-Data-Science-Bootcamp' plus capstone repos. Profile display name 'Nourah Alsaadan'.</t>
  </si>
  <si>
    <t xml:space="preserve">https://github.com/nourahsaud/T5-Data-Science-Bootcamp</t>
  </si>
  <si>
    <t xml:space="preserve">سجل مضاف في المسح العلني الموسّع (أغسطس 2026). الدليل: Repo description: 'Task For T5 Bootcamp'. Profile display name 'Rawan Alotaibi', Riyadh, Saudi Arabia.</t>
  </si>
  <si>
    <t xml:space="preserve">https://github.com/AlRawan7/DataAnalysis_Week1</t>
  </si>
  <si>
    <t xml:space="preserve">سجل مضاف في المسح العلني الموسّع (أغسطس 2026). الدليل: Repo 'SDAIA-T5-projects' described 'Diverse projects from SDAIA t5 bootcamp experience showcasing learning and growth'. Name derived from handle RazanAljuraysi (no display name set).</t>
  </si>
  <si>
    <t xml:space="preserve">https://github.com/RazanAljuraysi/SDAIA-T5-projects</t>
  </si>
  <si>
    <t xml:space="preserve">سجل مضاف في المسح العلني الموسّع (أغسطس 2026). الدليل: Repo described 'this project is a part of T5 bootcamp'; also owns T5_W3_projects, T5_W4_Task1.2. Name derived from handle Saud0Altuwaijri.</t>
  </si>
  <si>
    <t xml:space="preserve">https://github.com/Saud0Altuwaijri/T5-ANN-Registration-classification</t>
  </si>
  <si>
    <t xml:space="preserve">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</si>
  <si>
    <t xml:space="preserve">https://github.com/ShahadAlameel/BankCustomerChurn_Project</t>
  </si>
  <si>
    <t xml:space="preserve">سجل مضاف في المسح العلني الموسّع (أغسطس 2026). الدليل: Owns repo 'Prediction-of-Strokes_T5_Data_science'. Profile display name 'Shatha Al' (handle ShathaAlghamdi), bio 'Programmer'.</t>
  </si>
  <si>
    <t xml:space="preserve">https://github.com/ShathaAlghamdi/Prediction-of-Strokes_T5_Data_science</t>
  </si>
  <si>
    <t xml:space="preserve">سجل مضاف في المسح العلني الموسّع (أغسطس 2026). الدليل: Owns repo 'T55_DataScienceBootCamp' (Data Exploration using pandas). Profile display name 'Tariq Hassan', handle TariqAlhathloul, Riyadh. Weaker tie: repo names T5 bootcamp but does not name SDAIA.</t>
  </si>
  <si>
    <t xml:space="preserve">https://github.com/TariqAlhathloul/T55_DataScienceBootCamp</t>
  </si>
  <si>
    <t xml:space="preserve">فرق المشاريع</t>
  </si>
  <si>
    <t xml:space="preserve">الجهة والمسمى مؤكدان عبر مجمّع بيانات؛ تاريخ البدء غير مؤكد ولقب Senior يرجّح تدرجًا. مشروع التخرج: التعرّف الضوئي على النوتة الموسيقية.</t>
  </si>
  <si>
    <t xml:space="preserve">https://github.com/AsmaaAlthakafi/Optical-Music-Recognition</t>
  </si>
  <si>
    <t xml:space="preserve">الجهة مؤكدة بمقتطف مفهرس ومعرّف الملف يطابق كشف الفصل؛ المسمى والتاريخ غير مؤكدين. أنجز سلسلة مشاريع T5 الخمس كاملة.</t>
  </si>
  <si>
    <t xml:space="preserve">https://github.com/maghrabi-es/EDA-Project</t>
  </si>
  <si>
    <t xml:space="preserve">المسمى معلن والجهة مُخفاة؛ التاريخ غير مؤكد. لها ملف على Google Scholar (المحتوى غير قابل للجلب — robots).</t>
  </si>
  <si>
    <t xml:space="preserve">https://github.com/elafsalem</t>
  </si>
  <si>
    <t xml:space="preserve">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</si>
  <si>
    <t xml:space="preserve">https://github.com/elaftalal/DS_cyber_security_IDS_prediction_system</t>
  </si>
  <si>
    <t xml:space="preserve">سجل مضاف في المسح العلني الموسّع (أغسطس 2026). التخصص: Machine learning, dashcam projects. الدليل: T5 Bootcamp from Sadia [sic - SDAIA]</t>
  </si>
  <si>
    <t xml:space="preserve">https://github.com/8dci/T5</t>
  </si>
  <si>
    <t xml:space="preserve">https://github.com/rmalmoha/T5-ML-Classification-Project/blob/main/README.md</t>
  </si>
  <si>
    <t xml:space="preserve">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</si>
  <si>
    <t xml:space="preserve">https://github.com/Dr-ssaleh/Cardiovascular_Disease_Classification</t>
  </si>
  <si>
    <t xml:space="preserve">خريجة هندسة برمجيات (جامعة جدة) حاصلة على شهادة Red Hat RHCSA. مشروع التخرج: التنبؤ بتصادم المركبات (عمق + كشف) آنيًا. التخصص: Linux, AI, computer vision, containers/OpenShift; RHCSA certified.</t>
  </si>
  <si>
    <t xml:space="preserve">https://github.com/Danalmestadi/SDAIA-T5-Capstone-Project</t>
  </si>
  <si>
    <t xml:space="preserve">الجهة مؤكدة بمقتطف مفهرس؛ المسمى والتاريخ غير مؤكدين. مؤلفة commits ومشاريع مشتركة في فصل C06 (Regression وUnsupervised وDeep Learning).</t>
  </si>
  <si>
    <t xml:space="preserve">https://github.com/rahafkh1</t>
  </si>
  <si>
    <t xml:space="preserve">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t>
  </si>
  <si>
    <t xml:space="preserve">https://rocketreach.co/reem-albalawi-email_506449863</t>
  </si>
  <si>
    <t xml:space="preserve">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</si>
  <si>
    <t xml:space="preserve">https://github.com/shhouuq</t>
  </si>
  <si>
    <t xml:space="preserve">مشاركة T5 مؤكدة ذاتيًا</t>
  </si>
  <si>
    <t xml:space="preserve">https://x.com/Alnujayman</t>
  </si>
  <si>
    <t xml:space="preserve">الجهة من مجمّع بيانات بمطابقة اسمية متوسطة الثقة؛ التاريخ غير مؤكد. مشروعها الأول MTA_EDA بتواريخ commits 23 سبتمبر – 5 أكتوبر 2021 (مؤكدة بالاستنساخ).</t>
  </si>
  <si>
    <t xml:space="preserve">https://github.com/Taifabdullah2021</t>
  </si>
  <si>
    <t xml:space="preserve">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</si>
  <si>
    <t xml:space="preserve">«مهندس ذكاء اصطناعي» (وصف ذاتي) التخصص: Python, Pandas, NLP, Machine Learning, Computer Vision.</t>
  </si>
  <si>
    <t xml:space="preserve">https://x.com/abdulazizkhoja4</t>
  </si>
  <si>
    <t xml:space="preserve">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t>
  </si>
  <si>
    <t xml:space="preserve">https://github.com/AliMufeed/Hotel_Review_NLP</t>
  </si>
  <si>
    <t xml:space="preserve">نشر نموذج Finetuned MarBERT لتحليل المشاعر العربية (19 تنزيلًا/شهر) وArsarcasm لكشف السخرية وfine-tuned BERT على Hugging Face، وخدمة REST حية على Google Cloud Run (SVM دقة 89%، MARBERTv2 بمعامل F1=0.83).</t>
  </si>
  <si>
    <t xml:space="preserve">https://github.com/TheKnight909/Emotional-analysis</t>
  </si>
  <si>
    <t xml:space="preserve">قاد مشروع «سُم» لإدارة المرور والتسعير الديناميكي (YOLOv8 دقة 88%؛ يستهدف 7 طرق بالرياض) — 78/100 في الترتيب.</t>
  </si>
  <si>
    <t xml:space="preserve">https://github.com/AhmedBashmmakh/Sum-T5-Capstone</t>
  </si>
  <si>
    <t xml:space="preserve">مشروع ADEL للإشارات المرورية الذكية: أعلى المشاريع تقييمًا (88/100)؛ دقة كشف مركبات 92%، محاكاة SUMO، وتطبيق حي على Hugging Face. التخصص: Data Science.</t>
  </si>
  <si>
    <t xml:space="preserve">https://github.com/iwm10</t>
  </si>
  <si>
    <t xml:space="preserve">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t>
  </si>
  <si>
    <t xml:space="preserve">https://github.com/MohammedAHO</t>
  </si>
  <si>
    <t xml:space="preserve">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t>
  </si>
  <si>
    <t xml:space="preserve">https://github.com/MeshalAlamr/speech-emotion-recognition</t>
  </si>
  <si>
    <t xml:space="preserve">سجل مضاف في المسح العلني الموسّع (أغسطس 2026). التخصص: NLP, GANs, machine learning. الدليل: Repo 'Natural-Language-Processing-Specialization-Coursera-SDAIA'; COVID-19 Vaccines Tweets described as a 'T5 boot camp project'</t>
  </si>
  <si>
    <t xml:space="preserve">https://github.com/imnawar/Natural-Language-Processing-Specialization-Coursera-SDAIA</t>
  </si>
  <si>
    <t xml:space="preserve">سجل مضاف في المسح العلني الموسّع (أغسطس 2026). التخصص: Traffic analysis, Python/Pandas. الدليل: T5_SDAIA_Traffic_Anlysis</t>
  </si>
  <si>
    <t xml:space="preserve">https://github.com/Nawaf9997/T5_SDAIA_Traffic_Anlysis</t>
  </si>
  <si>
    <t xml:space="preserve">خريجة وظّفتها سدايا نفسها. الانتساب مؤكد بمقتطف ترويسة مفهرس ومعرّف ملفها يطابق كشف الفصل تمامًا؛ المسمى وتاريخ البدء غير مؤكدين.</t>
  </si>
  <si>
    <t xml:space="preserve">https://github.com/NorahAlkhalifah/Advertising_MTA</t>
  </si>
  <si>
    <t xml:space="preserve">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</si>
  <si>
    <t xml:space="preserve">منشور علني (~أكتوبر 2025) يوثّق إتمام برنامج تدريبي نظمته أكاديمية سدايا مع Groq: أساسيات LLM وواجهة Groq API والوكلاء والذاكرة/RAG والوكلاء الصوتيين.</t>
  </si>
  <si>
    <t xml:space="preserve">https://www.linkedin.com/posts/-mona-almutairi-_aepaesaeyaeraepaejabraepaesaepaedaefaeuaepaehaey-ugcPost-7371144150433427456-ZxPM/</t>
  </si>
  <si>
    <t xml:space="preserve">الاسم العربي</t>
  </si>
  <si>
    <t xml:space="preserve">الاسم الإنجليزي</t>
  </si>
  <si>
    <t xml:space="preserve">البرنامج المرجّح</t>
  </si>
  <si>
    <t xml:space="preserve">السنة</t>
  </si>
  <si>
    <t xml:space="preserve">روابط</t>
  </si>
  <si>
    <t xml:space="preserve">سبب عدم التحقق / الدليل غير الكافي</t>
  </si>
  <si>
    <t xml:space="preserve">تركي (aaturki)</t>
  </si>
  <si>
    <t xml:space="preserve">Turki</t>
  </si>
  <si>
    <t xml:space="preserve">غير محدد (~2023–2024)</t>
  </si>
  <si>
    <t xml:space="preserve">https://github.com/aaturki</t>
  </si>
  <si>
    <t xml:space="preserve">🆕 انتساب معلن ذاتيًا عبر مستودعي sdaia_LLM (13 commit، 5 نجوم) وsdaia_clouders؛ تاريخ الدفعة تعذّر توثيقه. التخصص: GitHub Developer Program Member; 29 public repos incl. sdaia_LLM.</t>
  </si>
  <si>
    <t xml:space="preserve">جيهان حمدان</t>
  </si>
  <si>
    <t xml:space="preserve">Jehan Hamdan</t>
  </si>
  <si>
    <t xml:space="preserve">https://github.com/Je-97</t>
  </si>
  <si>
    <t xml:space="preserve">مؤكدة التخرج: مستودع SDAIA-T5-Tuwaiq أُنشئ 26 يوليو 2024 ويضم 185 commit عبر تسعة أسابيع من المنهج. تعريفها الذاتي «طالبة علوم بيانات»؛ لم يُعثر على جهة عمل.</t>
  </si>
  <si>
    <t xml:space="preserve">سما الحربي</t>
  </si>
  <si>
    <t xml:space="preserve">Sama Alharbi</t>
  </si>
  <si>
    <t xml:space="preserve">~2024</t>
  </si>
  <si>
    <t xml:space="preserve">مؤكدة التخرج: مستودع SDAIA-T5-BootCamp أُنشئ 26 يوليو 2024، ومن مشاريعه «مراقبة المركبات غير الملتزمة بمسافة الأمان» (YOLO + OCR). لم يُعثر على جهة عمل.</t>
  </si>
  <si>
    <t xml:space="preserve">لينا العنزي</t>
  </si>
  <si>
    <t xml:space="preserve">Lena Alenazi</t>
  </si>
  <si>
    <t xml:space="preserve">https://www.linkedin.com/in/lena-alenazi/ | https://github.com/lenaAlenazi/Bootcamp-SDAIA-T5</t>
  </si>
  <si>
    <t xml:space="preserve">🏆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</si>
  <si>
    <t xml:space="preserve">أسماء الزهراني</t>
  </si>
  <si>
    <t xml:space="preserve">Asma Alzahrani</t>
  </si>
  <si>
    <t xml:space="preserve">2023–2024</t>
  </si>
  <si>
    <t xml:space="preserve">https://www.linkedin.com/in/asma-alzahrani-/</t>
  </si>
  <si>
    <t xml:space="preserve">تحوّل موثّق بمنشوراتها العامة من متدربة تعاونية إلى موظفة في سدايا. عرضت بحثًا في ScholarCon 2025 عن ضبط XGBoost لكشف الاحتيال المالي. شهادة SysOps (طويق × AWS).</t>
  </si>
  <si>
    <t xml:space="preserve">أسيل بن طلحة</t>
  </si>
  <si>
    <t xml:space="preserve">Aseel Bin Talhah</t>
  </si>
  <si>
    <t xml:space="preserve">https://www.linkedin.com/in/aseel-bin-talhah-3257b417b/</t>
  </si>
  <si>
    <t xml:space="preserve">التوظيف موثّق بمصدرين؛ مسمّى «أولى/Senior» مؤشر ترقية غير مؤرَّخ. انتساب سدايا من تطابق فهرسة فقط.</t>
  </si>
  <si>
    <t xml:space="preserve">معاذ الغامدي</t>
  </si>
  <si>
    <t xml:space="preserve">Muath A. Al-Ghamdi</t>
  </si>
  <si>
    <t xml:space="preserve">https://www.linkedin.com/in/muath-al-ghamdi/</t>
  </si>
  <si>
    <t xml:space="preserve">التوظيف موثّق بمصدرين؛ مؤشر ترقية «Senior» غير مؤرَّخ. انتساب سدايا يتطلب تأكيدًا.</t>
  </si>
  <si>
    <t xml:space="preserve">الهنوف الحميد</t>
  </si>
  <si>
    <t xml:space="preserve">Alhanouf Alhumid</t>
  </si>
  <si>
    <t xml:space="preserve">https://github.com/alhanoufalh</t>
  </si>
  <si>
    <t xml:space="preserve">عضوة خامسة في فريق مشروع التخرج RASYD (كشف مخالفات دراجات التوصيل) — اكتشاف جديد من قراءة ملف المشروع الرسمي. معسكر T5 أكتوبر 2024. لم يُعثر على جهة عمل.</t>
  </si>
  <si>
    <t xml:space="preserve">شروق عبدالله</t>
  </si>
  <si>
    <t xml:space="preserve">Shroaq Abdullah</t>
  </si>
  <si>
    <t xml:space="preserve">https://github.com/shroaqabdullah/MTA-Shroaq</t>
  </si>
  <si>
    <t xml:space="preserve">مؤكدة التخرج بمستودع MTA-Shroaq الموصوف «أول مشروع في معسكر T5 لعلوم البيانات» بتواريخ commits 1 أكتوبر – 23 نوفمبر 2021 (مؤكدة بالاستنساخ) — أي ضمن موجة خريف 2021.</t>
  </si>
  <si>
    <t xml:space="preserve">علي التميمي</t>
  </si>
  <si>
    <t xml:space="preserve">Ali Al-Tamimi</t>
  </si>
  <si>
    <t xml:space="preserve">https://www.linkedin.com/in/ali-al-tamimi/ | https://github.com/firasmalik/T5C06</t>
  </si>
  <si>
    <t xml:space="preserve">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</si>
  <si>
    <t xml:space="preserve">حصة الشريهي</t>
  </si>
  <si>
    <t xml:space="preserve">Hssah Alsharihi</t>
  </si>
  <si>
    <t xml:space="preserve">https://www.linkedin.com/in/hssah-alsherihi-658b25216 | https://github.com/HssahSaad/T5_BootCamp</t>
  </si>
  <si>
    <t xml:space="preserve">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</si>
  <si>
    <t xml:space="preserve">سلطان محفوظ</t>
  </si>
  <si>
    <t xml:space="preserve">Sultan Mahfouz</t>
  </si>
  <si>
    <t xml:space="preserve">https://github.com/Sultanmahfouz/Tuwaiq_Final_Project</t>
  </si>
  <si>
    <t xml:space="preserve">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</si>
  <si>
    <t xml:space="preserve">أسماء الزبيدي</t>
  </si>
  <si>
    <t xml:space="preserve">Asma Ahmed Alzubaidi</t>
  </si>
  <si>
    <t xml:space="preserve">https://github.com/Asma-Ahmed-Aqil-AL-Zubaidi/Areeb</t>
  </si>
  <si>
    <t xml:space="preserve">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t>
  </si>
  <si>
    <t xml:space="preserve">عبدالعزيز الشهري</t>
  </si>
  <si>
    <t xml:space="preserve">Abdulaziz Alshehri</t>
  </si>
  <si>
    <t xml:space="preserve">https://www.linkedin.com/in/kaaz/ | https://github.com/DmitriiDenisov/sdaia_t5c04_projects</t>
  </si>
  <si>
    <t xml:space="preserve">مؤكد التخرج: مستودع ML-EDA بتواريخ commits 23 سبتمبر – 22 ديسمبر 2021 (مؤكدة بالاستنساخ). لم يُعثر على جهة عمل.</t>
  </si>
  <si>
    <t xml:space="preserve">سارة حاوي</t>
  </si>
  <si>
    <t xml:space="preserve">Sara Hawi</t>
  </si>
  <si>
    <t xml:space="preserve">https://www.linkedin.com/in/saraahawi/ | https://github.com/DmitriiDenisov/sdaia_t5c04_projects</t>
  </si>
  <si>
    <t xml:space="preserve">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</si>
  <si>
    <t xml:space="preserve">طلال النجيمان</t>
  </si>
  <si>
    <t xml:space="preserve">Talal Alnujayman</t>
  </si>
  <si>
    <t xml:space="preserve">أنجز سلسلة مشاريع C06 كاملة بتواريخ متتابعة: T5_EDA ثم Regression (12 ديسمبر) ثم Classification (19 ديسمبر) ثم NLP (30 ديسمبر 2021). لم يُعثر على جهة عمل.</t>
  </si>
  <si>
    <t xml:space="preserve">شروق عبدالله (2021)</t>
  </si>
  <si>
    <t xml:space="preserve">Shroaq Abdullah (T5 2021)</t>
  </si>
  <si>
    <t xml:space="preserve">مستودع MTA-Shroaq موصوف «أول مشروع في معسكر T5 لعلوم البيانات» بتواريخ commits 1 أكتوبر – 23 نوفمبر 2021 (مؤكدة بالاستنساخ) — يضعها في موجة خريف 2021 نفسها لفصلي C04/C06.</t>
  </si>
  <si>
    <t xml:space="preserve">ميعاد الرحيلي</t>
  </si>
  <si>
    <t xml:space="preserve">Meaad Alrehaili</t>
  </si>
  <si>
    <t xml:space="preserve">https://github.com/meaadalrehaili/Tuwaiq_Data_Science_Bootcamp</t>
  </si>
  <si>
    <t xml:space="preserve">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</si>
  <si>
    <t xml:space="preserve">آلاء الجداني</t>
  </si>
  <si>
    <t xml:space="preserve">Alaa Aljadani</t>
  </si>
  <si>
    <t xml:space="preserve">https://www.linkedin.com/in/alaa-aljadani | https://github.com/AlaaAljadani/Customers_Churn-Metis</t>
  </si>
  <si>
    <t xml:space="preserve">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</si>
  <si>
    <t xml:space="preserve">محمد السقاف</t>
  </si>
  <si>
    <t xml:space="preserve">Mohammed Saggaf</t>
  </si>
  <si>
    <t xml:space="preserve">https://github.com/m7md-saggaf/artificial_intelligence_project</t>
  </si>
  <si>
    <t xml:space="preserve">مستودع موصوف «T5 SDAIA bootcamp» بتواريخ 5–24 أكتوبر 2021، ويضم منهج T5 كاملًا في مجلدات (EDA · Linear Regression · Classification · SDAIA Project).</t>
  </si>
  <si>
    <t xml:space="preserve">العنود باسليمان</t>
  </si>
  <si>
    <t xml:space="preserve">Alanoud Basulaiman</t>
  </si>
  <si>
    <t xml:space="preserve">https://www.linkedin.com/in/alanoud-basulaiman-12a89023b | https://github.com/Alanoud2209832/T5-SDAIA-Projects</t>
  </si>
  <si>
    <t xml:space="preserve">مستودع مشاريع المعسكر أُنشئ 21 أكتوبر 2024، ومشروع التخرج SmartDashcam أُنشئ 27 أكتوبر 2024.</t>
  </si>
  <si>
    <t xml:space="preserve">لمى الحربي</t>
  </si>
  <si>
    <t xml:space="preserve">Lama Alharbi</t>
  </si>
  <si>
    <t xml:space="preserve">https://github.com/lamalharbi/Tuwaiq_Project_LamaAlharbi</t>
  </si>
  <si>
    <t xml:space="preserve">مستودع مشروع المعسكر بتواريخ commits 10–21 أكتوبر 2021 (مؤكدة بالاستنساخ).</t>
  </si>
  <si>
    <t xml:space="preserve">رزان الجهني</t>
  </si>
  <si>
    <t xml:space="preserve">Razan M. Aljuhani</t>
  </si>
  <si>
    <t xml:space="preserve">https://www.linkedin.com/in/razan-aljuhani-bb15651b3 | https://github.com/razanmaljuhani/SDAIA-Data-Science-bootcamp</t>
  </si>
  <si>
    <t xml:space="preserve">مستودع «SDAIA-Data-Science-bootcamp» أُنشئ 29 نوفمبر ودُفع 16 ديسمبر 2021. التخصص: Artificial Intelligence and Data Science; big data, compilers, cybersecurity coursework.</t>
  </si>
  <si>
    <t xml:space="preserve">أحمد الزرقي</t>
  </si>
  <si>
    <t xml:space="preserve">Ahmed Alzurqi</t>
  </si>
  <si>
    <t xml:space="preserve">https://github.com/AhmedAlzurqi/T5-Project</t>
  </si>
  <si>
    <t xml:space="preserve">مستودع «T5-Project» موصوف «T5 Bootcamp by SDAIA»، أُنشئ 12 نوفمبر ودُفع 17 نوفمبر 2021.</t>
  </si>
  <si>
    <t xml:space="preserve">روابي خلف</t>
  </si>
  <si>
    <t xml:space="preserve">Rawabi Khalaf</t>
  </si>
  <si>
    <t xml:space="preserve">2022</t>
  </si>
  <si>
    <t xml:space="preserve">https://github.com/RawabiKhalaf/MTA-EDA</t>
  </si>
  <si>
    <t xml:space="preserve">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t>
  </si>
  <si>
    <t xml:space="preserve">ندى الخرجي</t>
  </si>
  <si>
    <t xml:space="preserve">Nada Alkharji</t>
  </si>
  <si>
    <t xml:space="preserve">https://www.linkedin.com/in/nada-alkharji | https://github.com/NadaAlkharji/T5_Zeham_Management_Technologies_BootCamp</t>
  </si>
  <si>
    <t xml:space="preserve">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</si>
  <si>
    <t xml:space="preserve">أمل القحطاني</t>
  </si>
  <si>
    <t xml:space="preserve">Amal Alqahtani</t>
  </si>
  <si>
    <t xml:space="preserve">https://github.com/Amalqahtani37/SDAIA-Data-Science-and-AI-Bootcamp-</t>
  </si>
  <si>
    <t xml:space="preserve">مستودع المعسكر أُنشئ 20 أكتوبر 2024، وموصوف كبرنامج 12 أسبوعًا يغطي علوم البيانات وتعلم الآلة والتعلم العميق ومعالجة اللغة والمحوّلات وMLOps.</t>
  </si>
  <si>
    <t xml:space="preserve">سارة العبدالوهاب</t>
  </si>
  <si>
    <t xml:space="preserve">Sarah Alabdulwahab</t>
  </si>
  <si>
    <t xml:space="preserve">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</si>
  <si>
    <t xml:space="preserve">إبراهيم الزهيري</t>
  </si>
  <si>
    <t xml:space="preserve">Ibrahim Alzuhairi</t>
  </si>
  <si>
    <t xml:space="preserve">https://www.linkedin.com/in/ibrahim-alzuhairi-27751584/ | https://github.com/DmitriiDenisov/sdaia_t5c04_projects</t>
  </si>
  <si>
    <t xml:space="preserve">مؤكد التخرج بكشف فصل C04 (سبتمبر–نوفمبر 2021). لم يُعثر على جهة عمل.</t>
  </si>
  <si>
    <t xml:space="preserve">فاطمة السعيد</t>
  </si>
  <si>
    <t xml:space="preserve">Fatima Alsaeed</t>
  </si>
  <si>
    <t xml:space="preserve">https://www.linkedin.com/in/fatima-al-saeed/ | https://github.com/DmitriiDenisov/sdaia_t5c04_projects</t>
  </si>
  <si>
    <t xml:space="preserve">مؤكدة التخرج بكشف فصل C04. لم يُعثر على جهة عمل.</t>
  </si>
  <si>
    <t xml:space="preserve">ندى رمبو</t>
  </si>
  <si>
    <t xml:space="preserve">Nada Rambu</t>
  </si>
  <si>
    <t xml:space="preserve">https://www.linkedin.com/in/nada-rambu/ | https://github.com/DmitriiDenisov/sdaia_t5c04_projects</t>
  </si>
  <si>
    <t xml:space="preserve">رغد العريفي</t>
  </si>
  <si>
    <t xml:space="preserve">Raghad Alarifi</t>
  </si>
  <si>
    <t xml:space="preserve">https://www.linkedin.com/in/raghad-alarifi/ | https://github.com/DmitriiDenisov/sdaia_t5c04_projects</t>
  </si>
  <si>
    <t xml:space="preserve">مؤكدة التخرج بكشف فصل C04. تنبيه: ملف «رغد العريفي — بنك البلاد» معرّفه يختلف عن معرّف الكشف — لم يُدمج.</t>
  </si>
  <si>
    <t xml:space="preserve">ريف التركي</t>
  </si>
  <si>
    <t xml:space="preserve">Reef Alturki</t>
  </si>
  <si>
    <t xml:space="preserve">https://www.linkedin.com/in/reef-alturki/ | https://github.com/DmitriiDenisov/sdaia_t5c04_projects</t>
  </si>
  <si>
    <t xml:space="preserve">تيا الزنان</t>
  </si>
  <si>
    <t xml:space="preserve">Tia Alzanan</t>
  </si>
  <si>
    <t xml:space="preserve">https://www.linkedin.com/in/tia-alzanan-993325216/ | https://github.com/DmitriiDenisov/sdaia_t5c04_projects</t>
  </si>
  <si>
    <t xml:space="preserve">مؤكدة التخرج بكشف فصل C04. تنبيه: سجل ZoomInfo «مديرة الإدارة الثقافية بوزارة الخارجية» يُرجَّح أنه شخص آخر أو دور غير ذي صلة — لم يُدمج.</t>
  </si>
  <si>
    <t xml:space="preserve">سارة عميرة</t>
  </si>
  <si>
    <t xml:space="preserve">Sara Omairah</t>
  </si>
  <si>
    <t xml:space="preserve">https://github.com/Saraomairah/T5-Data-Science-and-AI-Bootcamp-Projects-SDAIA-</t>
  </si>
  <si>
    <t xml:space="preserve">مستودع مشاريع المعسكر أُنشئ 12 أكتوبر 2024. لم يُعثر على جهة عمل.</t>
  </si>
  <si>
    <t xml:space="preserve">ريم البلوّي (دفعة T5 2024)</t>
  </si>
  <si>
    <t xml:space="preserve">Reem Albluwi</t>
  </si>
  <si>
    <t xml:space="preserve">https://www.linkedin.com/in/reem-albalawii | https://github.com/ReemAlbluwi/SDAIA-T5-BootCamp</t>
  </si>
  <si>
    <t xml:space="preserve">مستودع المعسكر أُنشئ 13 أكتوبر 2024. تنبيه مهم: شخص مختلف عن «ريم البلوي — ATS Travel» (تهجئة عائلة مختلفة) — لم يُدمجا، والاسم موسوم هنا بالدفعة للتمييز. التخصص: Computer vision (YOLOv8), machine learning; teaching experience; traffic-management technologies.</t>
  </si>
  <si>
    <t xml:space="preserve">عبدالله العويس</t>
  </si>
  <si>
    <t xml:space="preserve">Abdullah AlOwais</t>
  </si>
  <si>
    <t xml:space="preserve">https://github.com/Abdullah-AlOwais/T5-SDAIA</t>
  </si>
  <si>
    <t xml:space="preserve">مستودع T5-SDAIA أُنشئ 25 أكتوبر 2024. لم يُعثر على جهة عمل.</t>
  </si>
  <si>
    <t xml:space="preserve">خالد الزهراني</t>
  </si>
  <si>
    <t xml:space="preserve">Khalid Alzahrani</t>
  </si>
  <si>
    <t xml:space="preserve">https://github.com/khalidalzzahranii-eng</t>
  </si>
  <si>
    <t xml:space="preserve">منصة ذكاء دعم العملاء بنفس قالب مشروع تخرج DAICO؛ الإسناد لسدايا وارد في اسم المستودع فقط («…-sdaia-») وREADME بلا سطر إسناد صريح — ثقة منخفضة-متوسطة.</t>
  </si>
  <si>
    <t xml:space="preserve">Tamara Alotaibi</t>
  </si>
  <si>
    <t xml:space="preserve">https://www.linkedin.com/in/tamara-alotaibi-0a7a50294/</t>
  </si>
  <si>
    <t xml:space="preserve">ظهر ملفها في بحث العبارة الحرفية «التدريب الاحترافي في النماذج اللغوية الكبيرة» (مرتين)؛ فحص المتصفح 8 أغسطس لم يُظهر دليلًا في المنشورات، وقسم الشهادات يتطلب تسجيل دخول</t>
  </si>
  <si>
    <t xml:space="preserve">Rahaf Nadeem</t>
  </si>
  <si>
    <t xml:space="preserve">https://www.linkedin.com/in/rahaf-nadeem-/</t>
  </si>
  <si>
    <t xml:space="preserve">ظهرت في بحث العبارة الحرفية للبرنامج؛ الملف العام بلا منشورات ولا دليل ظاهر</t>
  </si>
  <si>
    <t xml:space="preserve">Kholoud Alghamdi</t>
  </si>
  <si>
    <t xml:space="preserve">https://www.linkedin.com/in/kholoud-algahmdi/</t>
  </si>
  <si>
    <t xml:space="preserve">ظهرت في بحث العبارة الحرفية؛ الرابط يعيد 404 حاليًا (تغيّر المعرف أو حُذف الحساب)</t>
  </si>
  <si>
    <t xml:space="preserve">Rahaf Fahad</t>
  </si>
  <si>
    <t xml:space="preserve">https://www.linkedin.com/in/rahaf-fahad-2a0a5b2b8/</t>
  </si>
  <si>
    <t xml:space="preserve">ظهرت فقط في استعلام غير حرفي (أتممت/اجتزت)؛ لم تتكرر في البحث الحرفي</t>
  </si>
  <si>
    <t xml:space="preserve">Alhanouf Alamri</t>
  </si>
  <si>
    <t xml:space="preserve">https://www.linkedin.com/in/alhanouf-alamri/</t>
  </si>
  <si>
    <t xml:space="preserve">ظهرت فقط في استعلام غير حرفي؛ لم تتكرر في البحث الحرفي</t>
  </si>
  <si>
    <t xml:space="preserve">Ahmed Alghamdi</t>
  </si>
  <si>
    <t xml:space="preserve">2025</t>
  </si>
  <si>
    <t xml:space="preserve">https://www.linkedin.com/posts/ahmed-alghamdi-11931b228_i-was-delighted-to-receive-the-artificial-activity-7363893142489567232-MzCL</t>
  </si>
  <si>
    <t xml:space="preserve">منشور عن استلام شهادة ذكاء اصطناعي/توليدي من سدايا — البرنامج غير مسمّى صراحة</t>
  </si>
  <si>
    <t xml:space="preserve">Mohammad Yusif</t>
  </si>
  <si>
    <t xml:space="preserve">https://github.com/MohammadYusif</t>
  </si>
  <si>
    <t xml:space="preserve">نشر موقع Quarto لمواد «Modern Data Engineering for AI Systems — SDAIA Academy» — قد يكون متدربًا أو من الكادر التدريبي</t>
  </si>
  <si>
    <t xml:space="preserve">(username) salhuwirini-beep</t>
  </si>
  <si>
    <t xml:space="preserve">https://github.com/salhuwirini-beep</t>
  </si>
  <si>
    <t xml:space="preserve">مستودع مشروع تخرج «SDAIA Academy capstone» مكتمل لكن دون اسم شخصي معلن</t>
  </si>
  <si>
    <t xml:space="preserve">المؤشر (Metric)</t>
  </si>
  <si>
    <t xml:space="preserve">القيمة</t>
  </si>
  <si>
    <t xml:space="preserve">ملاحظة</t>
  </si>
  <si>
    <t xml:space="preserve">إجمالي المرشحين المكتشفين (Total candidates discovered)</t>
  </si>
  <si>
    <t xml:space="preserve">زجّ 267 سجلًا علني الأدلة من قاعدة البيانات (بعد دمج مكرر) + 35 مرشحًا جديدًا من المسح المستهدف 8 أغسطس 2026</t>
  </si>
  <si>
    <t xml:space="preserve">إجمالي الخريجين المتحققين (Total verified)</t>
  </si>
  <si>
    <t xml:space="preserve">High + Medium</t>
  </si>
  <si>
    <t xml:space="preserve">الفريدون بعد إزالة التكرار (Unique after dedup)</t>
  </si>
  <si>
    <t xml:space="preserve">صفّ واحد لكل شخص؛ البرامج المتعددة مدمجة في عمود البرنامج</t>
  </si>
  <si>
    <t xml:space="preserve">درجة ثقة عالية (High confidence)</t>
  </si>
  <si>
    <t xml:space="preserve">دليل علني يسمّي البرنامج صراحة</t>
  </si>
  <si>
    <t xml:space="preserve">درجة ثقة متوسطة (Medium confidence)</t>
  </si>
  <si>
    <t xml:space="preserve">دليل علني قوي غير حرفي</t>
  </si>
  <si>
    <t xml:space="preserve">لديهم LinkedIn</t>
  </si>
  <si>
    <t xml:space="preserve">لديهم GitHub</t>
  </si>
  <si>
    <t xml:space="preserve">لديهم موقع/بورتفوليو</t>
  </si>
  <si>
    <t xml:space="preserve">روابط وسطاء البيانات (ZoomInfo وأمثالها) محظورة وفق معيار المصادر</t>
  </si>
  <si>
    <t xml:space="preserve">خريجو أكثر من برنامج مستهدف واحد</t>
  </si>
  <si>
    <t xml:space="preserve">سجلات مستبعدة/مكررة (Excluded/duplicates)</t>
  </si>
  <si>
    <t xml:space="preserve">46 في قائمة غير المتحققين + 6 ملفات فُحصت بالمتصفح واستُبعدت + 1 مكرر داخلي مدموج (هيفاء أحمد السلمي #287/#523) + 4 اكتشافات جديدة تبيّن أنها سجلات قائمة</t>
  </si>
  <si>
    <t xml:space="preserve">منهجية: العمود «القيمة» يُحسب بصيغ حية من ورقة Master Graduate List حيث أمكن؛ القيم الثابتة (المكتشفون/المستبعدون) من سجل جولة البحث 8 أغسطس 2026: القاعدة الخلفية = سجلات الطبقات العلنية في Graduates_Database.xlsx (نسخة 6 أغسطس 2026)؛ المسح الجديد = 3 وكلاء بحث (41 استعلامًا) + تحقق متصفح مباشر من 11 ملف LinkedIn.</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</si>
</sst>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s>
  <fills count="6">
    <fill>
      <patternFill patternType="none"/>
    </fill>
    <fill>
      <patternFill patternType="gray125"/>
    </fill>
    <fill>
      <patternFill patternType="solid">
        <fgColor rgb="FF1F4E5F"/>
        <bgColor rgb="FF333333"/>
      </patternFill>
    </fill>
    <fill>
      <patternFill patternType="solid">
        <fgColor rgb="FFE8F4EA"/>
        <bgColor rgb="FFFBEAEA"/>
      </patternFill>
    </fill>
    <fill>
      <patternFill patternType="solid">
        <fgColor rgb="FFFFF7E0"/>
        <bgColor rgb="FFFBEAEA"/>
      </patternFill>
    </fill>
    <fill>
      <patternFill patternType="solid">
        <fgColor rgb="FFFBEAEA"/>
        <bgColor rgb="FFFFF7E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right" vertical="top" textRotation="0" wrapText="true" indent="0" shrinkToFit="false" readingOrder="2"/>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right" vertical="top" textRotation="0" wrapText="true" indent="0" shrinkToFit="false" readingOrder="2"/>
      <protection locked="true" hidden="false"/>
    </xf>
    <xf numFmtId="164" fontId="5" fillId="0" borderId="1" xfId="0" applyFont="true" applyBorder="true" applyAlignment="true" applyProtection="false">
      <alignment horizontal="right" vertical="top" textRotation="0" wrapText="true" indent="0" shrinkToFit="false" readingOrder="2"/>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right" vertical="top" textRotation="0" wrapText="true" indent="0" shrinkToFit="false" readingOrder="2"/>
      <protection locked="true" hidden="false"/>
    </xf>
    <xf numFmtId="164" fontId="7" fillId="0" borderId="0" xfId="0" applyFont="true" applyBorder="true" applyAlignment="true" applyProtection="false">
      <alignment horizontal="right" vertical="top"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5F"/>
          <bgColor rgb="FF000000"/>
        </patternFill>
      </fill>
    </dxf>
    <dxf>
      <fill>
        <patternFill patternType="solid">
          <fgColor rgb="FFE8F4EA"/>
          <bgColor rgb="FF000000"/>
        </patternFill>
      </fill>
    </dxf>
    <dxf>
      <fill>
        <patternFill patternType="solid">
          <fgColor rgb="FFFFF7E0"/>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7E0"/>
      <rgbColor rgb="FFE8F4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BEAEA"/>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6"/>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24"/>
    <col collapsed="false" customWidth="true" hidden="false" outlineLevel="0" max="4" min="4" style="1" width="34"/>
    <col collapsed="false" customWidth="true" hidden="false" outlineLevel="0" max="5" min="5" style="1" width="12"/>
    <col collapsed="false" customWidth="true" hidden="false" outlineLevel="0" max="6" min="6" style="1" width="34"/>
    <col collapsed="false" customWidth="true" hidden="false" outlineLevel="0" max="7" min="7" style="1" width="38"/>
    <col collapsed="false" customWidth="true" hidden="false" outlineLevel="0" max="8" min="8" style="1" width="16"/>
    <col collapsed="false" customWidth="true" hidden="false" outlineLevel="0" max="9" min="9" style="1" width="60"/>
    <col collapsed="false" customWidth="true" hidden="false" outlineLevel="0" max="10" min="10" style="1" width="12"/>
  </cols>
  <sheetData>
    <row r="1" customFormat="false" ht="45.75" hidden="false" customHeight="true" outlineLevel="0" collapsed="false">
      <c r="A1" s="2" t="s">
        <v>0</v>
      </c>
      <c r="B1" s="2" t="s">
        <v>1</v>
      </c>
      <c r="C1" s="2" t="s">
        <v>2</v>
      </c>
      <c r="D1" s="2" t="s">
        <v>3</v>
      </c>
      <c r="E1" s="2" t="s">
        <v>4</v>
      </c>
      <c r="F1" s="2" t="s">
        <v>5</v>
      </c>
      <c r="G1" s="2" t="s">
        <v>6</v>
      </c>
      <c r="H1" s="2" t="s">
        <v>7</v>
      </c>
      <c r="I1" s="2" t="s">
        <v>8</v>
      </c>
      <c r="J1" s="2" t="s">
        <v>9</v>
      </c>
    </row>
    <row r="2" customFormat="false" ht="45.75" hidden="false" customHeight="true" outlineLevel="0" collapsed="false">
      <c r="A2" s="3" t="n">
        <v>1</v>
      </c>
      <c r="B2" s="4" t="s">
        <v>10</v>
      </c>
      <c r="C2" s="3" t="s">
        <v>11</v>
      </c>
      <c r="D2" s="4" t="s">
        <v>12</v>
      </c>
      <c r="E2" s="3" t="s">
        <v>13</v>
      </c>
      <c r="F2" s="3" t="s">
        <v>14</v>
      </c>
      <c r="G2" s="3" t="s">
        <v>15</v>
      </c>
      <c r="H2" s="3" t="s">
        <v>15</v>
      </c>
      <c r="I2" s="4" t="s">
        <v>16</v>
      </c>
      <c r="J2" s="3" t="s">
        <v>17</v>
      </c>
    </row>
    <row r="3" customFormat="false" ht="45.75" hidden="false" customHeight="true" outlineLevel="0" collapsed="false">
      <c r="A3" s="3" t="n">
        <v>2</v>
      </c>
      <c r="B3" s="4" t="s">
        <v>18</v>
      </c>
      <c r="C3" s="3" t="s">
        <v>19</v>
      </c>
      <c r="D3" s="4" t="s">
        <v>12</v>
      </c>
      <c r="E3" s="3" t="s">
        <v>20</v>
      </c>
      <c r="F3" s="3" t="s">
        <v>15</v>
      </c>
      <c r="G3" s="3" t="s">
        <v>21</v>
      </c>
      <c r="H3" s="3" t="s">
        <v>15</v>
      </c>
      <c r="I3" s="4" t="s">
        <v>22</v>
      </c>
      <c r="J3" s="3" t="s">
        <v>17</v>
      </c>
    </row>
    <row r="4" customFormat="false" ht="45.75" hidden="false" customHeight="true" outlineLevel="0" collapsed="false">
      <c r="A4" s="3" t="n">
        <v>3</v>
      </c>
      <c r="B4" s="4" t="s">
        <v>23</v>
      </c>
      <c r="C4" s="3" t="s">
        <v>24</v>
      </c>
      <c r="D4" s="4" t="s">
        <v>25</v>
      </c>
      <c r="E4" s="3" t="s">
        <v>20</v>
      </c>
      <c r="F4" s="3" t="s">
        <v>15</v>
      </c>
      <c r="G4" s="3" t="s">
        <v>26</v>
      </c>
      <c r="H4" s="3" t="s">
        <v>15</v>
      </c>
      <c r="I4" s="4" t="s">
        <v>27</v>
      </c>
      <c r="J4" s="3" t="s">
        <v>17</v>
      </c>
    </row>
    <row r="5" customFormat="false" ht="45.75" hidden="false" customHeight="true" outlineLevel="0" collapsed="false">
      <c r="A5" s="3" t="n">
        <v>4</v>
      </c>
      <c r="B5" s="4" t="s">
        <v>28</v>
      </c>
      <c r="C5" s="3" t="s">
        <v>29</v>
      </c>
      <c r="D5" s="4" t="s">
        <v>25</v>
      </c>
      <c r="E5" s="3" t="s">
        <v>20</v>
      </c>
      <c r="F5" s="3" t="s">
        <v>15</v>
      </c>
      <c r="G5" s="3" t="s">
        <v>30</v>
      </c>
      <c r="H5" s="3" t="s">
        <v>15</v>
      </c>
      <c r="I5" s="4" t="s">
        <v>31</v>
      </c>
      <c r="J5" s="3" t="s">
        <v>17</v>
      </c>
    </row>
    <row r="6" customFormat="false" ht="45.75" hidden="false" customHeight="true" outlineLevel="0" collapsed="false">
      <c r="A6" s="3" t="n">
        <v>5</v>
      </c>
      <c r="B6" s="4" t="s">
        <v>32</v>
      </c>
      <c r="C6" s="3" t="s">
        <v>33</v>
      </c>
      <c r="D6" s="4" t="s">
        <v>25</v>
      </c>
      <c r="E6" s="3" t="s">
        <v>20</v>
      </c>
      <c r="F6" s="3" t="s">
        <v>15</v>
      </c>
      <c r="G6" s="3" t="s">
        <v>34</v>
      </c>
      <c r="H6" s="3" t="s">
        <v>15</v>
      </c>
      <c r="I6" s="4" t="s">
        <v>35</v>
      </c>
      <c r="J6" s="3" t="s">
        <v>17</v>
      </c>
    </row>
    <row r="7" customFormat="false" ht="57" hidden="false" customHeight="true" outlineLevel="0" collapsed="false">
      <c r="A7" s="3" t="n">
        <v>6</v>
      </c>
      <c r="B7" s="4" t="s">
        <v>36</v>
      </c>
      <c r="C7" s="3" t="s">
        <v>37</v>
      </c>
      <c r="D7" s="4" t="s">
        <v>25</v>
      </c>
      <c r="E7" s="3" t="s">
        <v>20</v>
      </c>
      <c r="F7" s="3" t="s">
        <v>15</v>
      </c>
      <c r="G7" s="3" t="s">
        <v>38</v>
      </c>
      <c r="H7" s="3" t="s">
        <v>15</v>
      </c>
      <c r="I7" s="4" t="s">
        <v>39</v>
      </c>
      <c r="J7" s="3" t="s">
        <v>17</v>
      </c>
    </row>
    <row r="8" customFormat="false" ht="57" hidden="false" customHeight="true" outlineLevel="0" collapsed="false">
      <c r="A8" s="3" t="n">
        <v>7</v>
      </c>
      <c r="B8" s="4" t="s">
        <v>40</v>
      </c>
      <c r="C8" s="3" t="s">
        <v>41</v>
      </c>
      <c r="D8" s="4" t="s">
        <v>25</v>
      </c>
      <c r="E8" s="3" t="s">
        <v>20</v>
      </c>
      <c r="F8" s="3" t="s">
        <v>15</v>
      </c>
      <c r="G8" s="3" t="s">
        <v>38</v>
      </c>
      <c r="H8" s="3" t="s">
        <v>15</v>
      </c>
      <c r="I8" s="4" t="s">
        <v>39</v>
      </c>
      <c r="J8" s="3" t="s">
        <v>17</v>
      </c>
    </row>
    <row r="9" customFormat="false" ht="68.25" hidden="false" customHeight="true" outlineLevel="0" collapsed="false">
      <c r="A9" s="3" t="n">
        <v>8</v>
      </c>
      <c r="B9" s="4" t="s">
        <v>42</v>
      </c>
      <c r="C9" s="3" t="s">
        <v>43</v>
      </c>
      <c r="D9" s="4" t="s">
        <v>25</v>
      </c>
      <c r="E9" s="3" t="s">
        <v>20</v>
      </c>
      <c r="F9" s="3" t="s">
        <v>15</v>
      </c>
      <c r="G9" s="3" t="s">
        <v>44</v>
      </c>
      <c r="H9" s="3" t="s">
        <v>15</v>
      </c>
      <c r="I9" s="4" t="s">
        <v>45</v>
      </c>
      <c r="J9" s="3" t="s">
        <v>17</v>
      </c>
    </row>
    <row r="10" customFormat="false" ht="34.5" hidden="false" customHeight="true" outlineLevel="0" collapsed="false">
      <c r="A10" s="3" t="n">
        <v>9</v>
      </c>
      <c r="B10" s="4" t="s">
        <v>46</v>
      </c>
      <c r="C10" s="3" t="s">
        <v>47</v>
      </c>
      <c r="D10" s="4" t="s">
        <v>25</v>
      </c>
      <c r="E10" s="3" t="s">
        <v>20</v>
      </c>
      <c r="F10" s="3" t="s">
        <v>15</v>
      </c>
      <c r="G10" s="3" t="s">
        <v>48</v>
      </c>
      <c r="H10" s="3" t="s">
        <v>15</v>
      </c>
      <c r="I10" s="4" t="s">
        <v>49</v>
      </c>
      <c r="J10" s="3" t="s">
        <v>17</v>
      </c>
    </row>
    <row r="11" customFormat="false" ht="57" hidden="false" customHeight="true" outlineLevel="0" collapsed="false">
      <c r="A11" s="3" t="n">
        <v>10</v>
      </c>
      <c r="B11" s="4" t="s">
        <v>50</v>
      </c>
      <c r="C11" s="3" t="s">
        <v>51</v>
      </c>
      <c r="D11" s="4" t="s">
        <v>25</v>
      </c>
      <c r="E11" s="3" t="s">
        <v>20</v>
      </c>
      <c r="F11" s="3" t="s">
        <v>15</v>
      </c>
      <c r="G11" s="3" t="s">
        <v>52</v>
      </c>
      <c r="H11" s="3" t="s">
        <v>15</v>
      </c>
      <c r="I11" s="4" t="s">
        <v>53</v>
      </c>
      <c r="J11" s="3" t="s">
        <v>17</v>
      </c>
    </row>
    <row r="12" customFormat="false" ht="23.25" hidden="false" customHeight="true" outlineLevel="0" collapsed="false">
      <c r="A12" s="3" t="n">
        <v>11</v>
      </c>
      <c r="B12" s="4" t="s">
        <v>54</v>
      </c>
      <c r="C12" s="3" t="s">
        <v>55</v>
      </c>
      <c r="D12" s="4" t="s">
        <v>25</v>
      </c>
      <c r="E12" s="3" t="s">
        <v>20</v>
      </c>
      <c r="F12" s="3" t="s">
        <v>15</v>
      </c>
      <c r="G12" s="3" t="s">
        <v>15</v>
      </c>
      <c r="H12" s="3" t="s">
        <v>15</v>
      </c>
      <c r="I12" s="4" t="s">
        <v>56</v>
      </c>
      <c r="J12" s="3" t="s">
        <v>17</v>
      </c>
    </row>
    <row r="13" customFormat="false" ht="23.25" hidden="false" customHeight="true" outlineLevel="0" collapsed="false">
      <c r="A13" s="3" t="n">
        <v>12</v>
      </c>
      <c r="B13" s="4" t="s">
        <v>57</v>
      </c>
      <c r="C13" s="3" t="s">
        <v>58</v>
      </c>
      <c r="D13" s="4" t="s">
        <v>25</v>
      </c>
      <c r="E13" s="3" t="s">
        <v>20</v>
      </c>
      <c r="F13" s="3" t="s">
        <v>15</v>
      </c>
      <c r="G13" s="3" t="s">
        <v>59</v>
      </c>
      <c r="H13" s="3" t="s">
        <v>15</v>
      </c>
      <c r="I13" s="4" t="s">
        <v>60</v>
      </c>
      <c r="J13" s="3" t="s">
        <v>17</v>
      </c>
    </row>
    <row r="14" customFormat="false" ht="57" hidden="false" customHeight="true" outlineLevel="0" collapsed="false">
      <c r="A14" s="3" t="n">
        <v>13</v>
      </c>
      <c r="B14" s="4" t="s">
        <v>61</v>
      </c>
      <c r="C14" s="3" t="s">
        <v>62</v>
      </c>
      <c r="D14" s="4" t="s">
        <v>25</v>
      </c>
      <c r="E14" s="3" t="s">
        <v>20</v>
      </c>
      <c r="F14" s="3" t="s">
        <v>15</v>
      </c>
      <c r="G14" s="3" t="s">
        <v>52</v>
      </c>
      <c r="H14" s="3" t="s">
        <v>15</v>
      </c>
      <c r="I14" s="4" t="s">
        <v>53</v>
      </c>
      <c r="J14" s="3" t="s">
        <v>17</v>
      </c>
    </row>
    <row r="15" customFormat="false" ht="34.5" hidden="false" customHeight="true" outlineLevel="0" collapsed="false">
      <c r="A15" s="3" t="n">
        <v>14</v>
      </c>
      <c r="B15" s="4" t="s">
        <v>63</v>
      </c>
      <c r="C15" s="3" t="s">
        <v>64</v>
      </c>
      <c r="D15" s="4" t="s">
        <v>25</v>
      </c>
      <c r="E15" s="3" t="s">
        <v>20</v>
      </c>
      <c r="F15" s="3" t="s">
        <v>15</v>
      </c>
      <c r="G15" s="3" t="s">
        <v>65</v>
      </c>
      <c r="H15" s="3" t="s">
        <v>15</v>
      </c>
      <c r="I15" s="4" t="s">
        <v>66</v>
      </c>
      <c r="J15" s="3" t="s">
        <v>17</v>
      </c>
    </row>
    <row r="16" customFormat="false" ht="57" hidden="false" customHeight="true" outlineLevel="0" collapsed="false">
      <c r="A16" s="3" t="n">
        <v>15</v>
      </c>
      <c r="B16" s="4" t="s">
        <v>67</v>
      </c>
      <c r="C16" s="3" t="s">
        <v>68</v>
      </c>
      <c r="D16" s="4" t="s">
        <v>25</v>
      </c>
      <c r="E16" s="3" t="s">
        <v>20</v>
      </c>
      <c r="F16" s="3" t="s">
        <v>15</v>
      </c>
      <c r="G16" s="3" t="s">
        <v>69</v>
      </c>
      <c r="H16" s="3" t="s">
        <v>15</v>
      </c>
      <c r="I16" s="4" t="s">
        <v>70</v>
      </c>
      <c r="J16" s="3" t="s">
        <v>17</v>
      </c>
    </row>
    <row r="17" customFormat="false" ht="34.5" hidden="false" customHeight="true" outlineLevel="0" collapsed="false">
      <c r="A17" s="3" t="n">
        <v>16</v>
      </c>
      <c r="B17" s="4" t="s">
        <v>71</v>
      </c>
      <c r="C17" s="3" t="s">
        <v>72</v>
      </c>
      <c r="D17" s="4" t="s">
        <v>25</v>
      </c>
      <c r="E17" s="3" t="s">
        <v>20</v>
      </c>
      <c r="F17" s="3" t="s">
        <v>15</v>
      </c>
      <c r="G17" s="3" t="s">
        <v>73</v>
      </c>
      <c r="H17" s="3" t="s">
        <v>15</v>
      </c>
      <c r="I17" s="4" t="s">
        <v>74</v>
      </c>
      <c r="J17" s="3" t="s">
        <v>17</v>
      </c>
    </row>
    <row r="18" customFormat="false" ht="45.75" hidden="false" customHeight="true" outlineLevel="0" collapsed="false">
      <c r="A18" s="3" t="n">
        <v>17</v>
      </c>
      <c r="B18" s="4" t="s">
        <v>75</v>
      </c>
      <c r="C18" s="3" t="s">
        <v>76</v>
      </c>
      <c r="D18" s="4" t="s">
        <v>25</v>
      </c>
      <c r="E18" s="3" t="s">
        <v>77</v>
      </c>
      <c r="F18" s="3" t="s">
        <v>78</v>
      </c>
      <c r="G18" s="3" t="s">
        <v>15</v>
      </c>
      <c r="H18" s="3" t="s">
        <v>15</v>
      </c>
      <c r="I18" s="4" t="s">
        <v>79</v>
      </c>
      <c r="J18" s="3" t="s">
        <v>17</v>
      </c>
    </row>
    <row r="19" customFormat="false" ht="34.5" hidden="false" customHeight="true" outlineLevel="0" collapsed="false">
      <c r="A19" s="3" t="n">
        <v>18</v>
      </c>
      <c r="B19" s="4" t="s">
        <v>80</v>
      </c>
      <c r="C19" s="3" t="s">
        <v>81</v>
      </c>
      <c r="D19" s="4" t="s">
        <v>25</v>
      </c>
      <c r="E19" s="3" t="s">
        <v>20</v>
      </c>
      <c r="F19" s="3" t="s">
        <v>15</v>
      </c>
      <c r="G19" s="3" t="s">
        <v>82</v>
      </c>
      <c r="H19" s="3" t="s">
        <v>15</v>
      </c>
      <c r="I19" s="4" t="s">
        <v>83</v>
      </c>
      <c r="J19" s="3" t="s">
        <v>17</v>
      </c>
    </row>
    <row r="20" customFormat="false" ht="34.5" hidden="false" customHeight="true" outlineLevel="0" collapsed="false">
      <c r="A20" s="3" t="n">
        <v>19</v>
      </c>
      <c r="B20" s="4" t="s">
        <v>84</v>
      </c>
      <c r="C20" s="3" t="s">
        <v>85</v>
      </c>
      <c r="D20" s="4" t="s">
        <v>25</v>
      </c>
      <c r="E20" s="3" t="s">
        <v>20</v>
      </c>
      <c r="F20" s="3" t="s">
        <v>15</v>
      </c>
      <c r="G20" s="3" t="s">
        <v>86</v>
      </c>
      <c r="H20" s="3" t="s">
        <v>15</v>
      </c>
      <c r="I20" s="4" t="s">
        <v>87</v>
      </c>
      <c r="J20" s="3" t="s">
        <v>17</v>
      </c>
    </row>
    <row r="21" customFormat="false" ht="23.25" hidden="false" customHeight="true" outlineLevel="0" collapsed="false">
      <c r="A21" s="3" t="n">
        <v>20</v>
      </c>
      <c r="B21" s="4" t="s">
        <v>88</v>
      </c>
      <c r="C21" s="3" t="s">
        <v>89</v>
      </c>
      <c r="D21" s="4" t="s">
        <v>25</v>
      </c>
      <c r="E21" s="3" t="s">
        <v>20</v>
      </c>
      <c r="F21" s="3" t="s">
        <v>15</v>
      </c>
      <c r="G21" s="3" t="s">
        <v>15</v>
      </c>
      <c r="H21" s="3" t="s">
        <v>15</v>
      </c>
      <c r="I21" s="4" t="s">
        <v>56</v>
      </c>
      <c r="J21" s="3" t="s">
        <v>17</v>
      </c>
    </row>
    <row r="22" customFormat="false" ht="45.75" hidden="false" customHeight="true" outlineLevel="0" collapsed="false">
      <c r="A22" s="3" t="n">
        <v>21</v>
      </c>
      <c r="B22" s="4" t="s">
        <v>90</v>
      </c>
      <c r="C22" s="3" t="s">
        <v>91</v>
      </c>
      <c r="D22" s="4" t="s">
        <v>25</v>
      </c>
      <c r="E22" s="3" t="s">
        <v>20</v>
      </c>
      <c r="F22" s="3" t="s">
        <v>15</v>
      </c>
      <c r="G22" s="3" t="s">
        <v>92</v>
      </c>
      <c r="H22" s="3" t="s">
        <v>15</v>
      </c>
      <c r="I22" s="4" t="s">
        <v>93</v>
      </c>
      <c r="J22" s="3" t="s">
        <v>17</v>
      </c>
    </row>
    <row r="23" customFormat="false" ht="57" hidden="false" customHeight="true" outlineLevel="0" collapsed="false">
      <c r="A23" s="3" t="n">
        <v>22</v>
      </c>
      <c r="B23" s="4" t="s">
        <v>94</v>
      </c>
      <c r="C23" s="3" t="s">
        <v>95</v>
      </c>
      <c r="D23" s="4" t="s">
        <v>25</v>
      </c>
      <c r="E23" s="3" t="s">
        <v>20</v>
      </c>
      <c r="F23" s="3" t="s">
        <v>15</v>
      </c>
      <c r="G23" s="3" t="s">
        <v>52</v>
      </c>
      <c r="H23" s="3" t="s">
        <v>15</v>
      </c>
      <c r="I23" s="4" t="s">
        <v>53</v>
      </c>
      <c r="J23" s="3" t="s">
        <v>17</v>
      </c>
    </row>
    <row r="24" customFormat="false" ht="45.75" hidden="false" customHeight="true" outlineLevel="0" collapsed="false">
      <c r="A24" s="3" t="n">
        <v>23</v>
      </c>
      <c r="B24" s="4" t="s">
        <v>96</v>
      </c>
      <c r="C24" s="3" t="s">
        <v>97</v>
      </c>
      <c r="D24" s="4" t="s">
        <v>25</v>
      </c>
      <c r="E24" s="3" t="s">
        <v>20</v>
      </c>
      <c r="F24" s="3" t="s">
        <v>15</v>
      </c>
      <c r="G24" s="3" t="s">
        <v>98</v>
      </c>
      <c r="H24" s="3" t="s">
        <v>15</v>
      </c>
      <c r="I24" s="4" t="s">
        <v>99</v>
      </c>
      <c r="J24" s="3" t="s">
        <v>17</v>
      </c>
    </row>
    <row r="25" customFormat="false" ht="23.25" hidden="false" customHeight="true" outlineLevel="0" collapsed="false">
      <c r="A25" s="3" t="n">
        <v>24</v>
      </c>
      <c r="B25" s="4" t="s">
        <v>100</v>
      </c>
      <c r="C25" s="3" t="s">
        <v>101</v>
      </c>
      <c r="D25" s="4" t="s">
        <v>25</v>
      </c>
      <c r="E25" s="3" t="s">
        <v>20</v>
      </c>
      <c r="F25" s="3" t="s">
        <v>15</v>
      </c>
      <c r="G25" s="3" t="s">
        <v>102</v>
      </c>
      <c r="H25" s="3" t="s">
        <v>15</v>
      </c>
      <c r="I25" s="4" t="s">
        <v>60</v>
      </c>
      <c r="J25" s="3" t="s">
        <v>17</v>
      </c>
    </row>
    <row r="26" customFormat="false" ht="23.25" hidden="false" customHeight="true" outlineLevel="0" collapsed="false">
      <c r="A26" s="3" t="n">
        <v>25</v>
      </c>
      <c r="B26" s="4" t="s">
        <v>103</v>
      </c>
      <c r="C26" s="3" t="s">
        <v>104</v>
      </c>
      <c r="D26" s="4" t="s">
        <v>25</v>
      </c>
      <c r="E26" s="3" t="s">
        <v>20</v>
      </c>
      <c r="F26" s="3" t="s">
        <v>15</v>
      </c>
      <c r="G26" s="3" t="s">
        <v>105</v>
      </c>
      <c r="H26" s="3" t="s">
        <v>15</v>
      </c>
      <c r="I26" s="4" t="s">
        <v>60</v>
      </c>
      <c r="J26" s="3" t="s">
        <v>17</v>
      </c>
    </row>
    <row r="27" customFormat="false" ht="57" hidden="false" customHeight="true" outlineLevel="0" collapsed="false">
      <c r="A27" s="3" t="n">
        <v>26</v>
      </c>
      <c r="B27" s="4" t="s">
        <v>106</v>
      </c>
      <c r="C27" s="3" t="s">
        <v>107</v>
      </c>
      <c r="D27" s="4" t="s">
        <v>25</v>
      </c>
      <c r="E27" s="3" t="s">
        <v>20</v>
      </c>
      <c r="F27" s="3" t="s">
        <v>15</v>
      </c>
      <c r="G27" s="3" t="s">
        <v>69</v>
      </c>
      <c r="H27" s="3" t="s">
        <v>15</v>
      </c>
      <c r="I27" s="4" t="s">
        <v>70</v>
      </c>
      <c r="J27" s="3" t="s">
        <v>17</v>
      </c>
    </row>
    <row r="28" customFormat="false" ht="57" hidden="false" customHeight="true" outlineLevel="0" collapsed="false">
      <c r="A28" s="3" t="n">
        <v>27</v>
      </c>
      <c r="B28" s="4" t="s">
        <v>108</v>
      </c>
      <c r="C28" s="3" t="s">
        <v>109</v>
      </c>
      <c r="D28" s="4" t="s">
        <v>25</v>
      </c>
      <c r="E28" s="3" t="s">
        <v>20</v>
      </c>
      <c r="F28" s="3" t="s">
        <v>15</v>
      </c>
      <c r="G28" s="3" t="s">
        <v>38</v>
      </c>
      <c r="H28" s="3" t="s">
        <v>15</v>
      </c>
      <c r="I28" s="4" t="s">
        <v>39</v>
      </c>
      <c r="J28" s="3" t="s">
        <v>17</v>
      </c>
    </row>
    <row r="29" customFormat="false" ht="34.5" hidden="false" customHeight="true" outlineLevel="0" collapsed="false">
      <c r="A29" s="3" t="n">
        <v>28</v>
      </c>
      <c r="B29" s="4" t="s">
        <v>110</v>
      </c>
      <c r="C29" s="3" t="s">
        <v>111</v>
      </c>
      <c r="D29" s="4" t="s">
        <v>25</v>
      </c>
      <c r="E29" s="3" t="s">
        <v>20</v>
      </c>
      <c r="F29" s="3" t="s">
        <v>15</v>
      </c>
      <c r="G29" s="3" t="s">
        <v>112</v>
      </c>
      <c r="H29" s="3" t="s">
        <v>15</v>
      </c>
      <c r="I29" s="4" t="s">
        <v>113</v>
      </c>
      <c r="J29" s="3" t="s">
        <v>17</v>
      </c>
    </row>
    <row r="30" customFormat="false" ht="57" hidden="false" customHeight="true" outlineLevel="0" collapsed="false">
      <c r="A30" s="3" t="n">
        <v>29</v>
      </c>
      <c r="B30" s="4" t="s">
        <v>114</v>
      </c>
      <c r="C30" s="3" t="s">
        <v>115</v>
      </c>
      <c r="D30" s="4" t="s">
        <v>25</v>
      </c>
      <c r="E30" s="3" t="s">
        <v>20</v>
      </c>
      <c r="F30" s="3" t="s">
        <v>15</v>
      </c>
      <c r="G30" s="3" t="s">
        <v>116</v>
      </c>
      <c r="H30" s="3" t="s">
        <v>15</v>
      </c>
      <c r="I30" s="4" t="s">
        <v>117</v>
      </c>
      <c r="J30" s="3" t="s">
        <v>17</v>
      </c>
    </row>
    <row r="31" customFormat="false" ht="23.25" hidden="false" customHeight="true" outlineLevel="0" collapsed="false">
      <c r="A31" s="3" t="n">
        <v>30</v>
      </c>
      <c r="B31" s="4" t="s">
        <v>118</v>
      </c>
      <c r="C31" s="3" t="s">
        <v>119</v>
      </c>
      <c r="D31" s="4" t="s">
        <v>25</v>
      </c>
      <c r="E31" s="3" t="s">
        <v>20</v>
      </c>
      <c r="F31" s="3" t="s">
        <v>15</v>
      </c>
      <c r="G31" s="3" t="s">
        <v>15</v>
      </c>
      <c r="H31" s="3" t="s">
        <v>15</v>
      </c>
      <c r="I31" s="4" t="s">
        <v>56</v>
      </c>
      <c r="J31" s="3" t="s">
        <v>17</v>
      </c>
    </row>
    <row r="32" customFormat="false" ht="23.25" hidden="false" customHeight="true" outlineLevel="0" collapsed="false">
      <c r="A32" s="3" t="n">
        <v>31</v>
      </c>
      <c r="B32" s="4" t="s">
        <v>120</v>
      </c>
      <c r="C32" s="3" t="s">
        <v>121</v>
      </c>
      <c r="D32" s="4" t="s">
        <v>25</v>
      </c>
      <c r="E32" s="3" t="s">
        <v>20</v>
      </c>
      <c r="F32" s="3" t="s">
        <v>15</v>
      </c>
      <c r="G32" s="3" t="s">
        <v>15</v>
      </c>
      <c r="H32" s="3" t="s">
        <v>15</v>
      </c>
      <c r="I32" s="4" t="s">
        <v>56</v>
      </c>
      <c r="J32" s="3" t="s">
        <v>17</v>
      </c>
    </row>
    <row r="33" customFormat="false" ht="45.75" hidden="false" customHeight="true" outlineLevel="0" collapsed="false">
      <c r="A33" s="3" t="n">
        <v>32</v>
      </c>
      <c r="B33" s="4" t="s">
        <v>122</v>
      </c>
      <c r="C33" s="3" t="s">
        <v>123</v>
      </c>
      <c r="D33" s="4" t="s">
        <v>25</v>
      </c>
      <c r="E33" s="3" t="s">
        <v>20</v>
      </c>
      <c r="F33" s="3" t="s">
        <v>15</v>
      </c>
      <c r="G33" s="3" t="s">
        <v>124</v>
      </c>
      <c r="H33" s="3" t="s">
        <v>15</v>
      </c>
      <c r="I33" s="4" t="s">
        <v>125</v>
      </c>
      <c r="J33" s="3" t="s">
        <v>17</v>
      </c>
    </row>
    <row r="34" customFormat="false" ht="45.75" hidden="false" customHeight="true" outlineLevel="0" collapsed="false">
      <c r="A34" s="3" t="n">
        <v>33</v>
      </c>
      <c r="B34" s="4" t="s">
        <v>126</v>
      </c>
      <c r="C34" s="3" t="s">
        <v>127</v>
      </c>
      <c r="D34" s="4" t="s">
        <v>128</v>
      </c>
      <c r="E34" s="3" t="s">
        <v>15</v>
      </c>
      <c r="F34" s="3" t="s">
        <v>15</v>
      </c>
      <c r="G34" s="3" t="s">
        <v>129</v>
      </c>
      <c r="H34" s="3" t="s">
        <v>15</v>
      </c>
      <c r="I34" s="4" t="s">
        <v>130</v>
      </c>
      <c r="J34" s="3" t="s">
        <v>17</v>
      </c>
    </row>
    <row r="35" customFormat="false" ht="57" hidden="false" customHeight="true" outlineLevel="0" collapsed="false">
      <c r="A35" s="3" t="n">
        <v>34</v>
      </c>
      <c r="B35" s="4" t="s">
        <v>131</v>
      </c>
      <c r="C35" s="3" t="s">
        <v>132</v>
      </c>
      <c r="D35" s="4" t="s">
        <v>128</v>
      </c>
      <c r="E35" s="3" t="s">
        <v>20</v>
      </c>
      <c r="F35" s="3" t="s">
        <v>15</v>
      </c>
      <c r="G35" s="3" t="s">
        <v>133</v>
      </c>
      <c r="H35" s="3" t="s">
        <v>15</v>
      </c>
      <c r="I35" s="4" t="s">
        <v>134</v>
      </c>
      <c r="J35" s="3" t="s">
        <v>17</v>
      </c>
    </row>
    <row r="36" customFormat="false" ht="23.25" hidden="false" customHeight="true" outlineLevel="0" collapsed="false">
      <c r="A36" s="3" t="n">
        <v>35</v>
      </c>
      <c r="B36" s="4" t="s">
        <v>135</v>
      </c>
      <c r="C36" s="3" t="s">
        <v>136</v>
      </c>
      <c r="D36" s="4" t="s">
        <v>128</v>
      </c>
      <c r="E36" s="3" t="s">
        <v>137</v>
      </c>
      <c r="F36" s="3" t="s">
        <v>138</v>
      </c>
      <c r="G36" s="3" t="s">
        <v>15</v>
      </c>
      <c r="H36" s="3" t="s">
        <v>15</v>
      </c>
      <c r="I36" s="4" t="s">
        <v>139</v>
      </c>
      <c r="J36" s="3" t="s">
        <v>17</v>
      </c>
    </row>
    <row r="37" customFormat="false" ht="45.75" hidden="false" customHeight="true" outlineLevel="0" collapsed="false">
      <c r="A37" s="3" t="n">
        <v>36</v>
      </c>
      <c r="B37" s="4" t="s">
        <v>140</v>
      </c>
      <c r="C37" s="3" t="s">
        <v>141</v>
      </c>
      <c r="D37" s="4" t="s">
        <v>142</v>
      </c>
      <c r="E37" s="3" t="s">
        <v>20</v>
      </c>
      <c r="F37" s="3" t="s">
        <v>143</v>
      </c>
      <c r="G37" s="3" t="s">
        <v>15</v>
      </c>
      <c r="H37" s="3" t="s">
        <v>15</v>
      </c>
      <c r="I37" s="4" t="s">
        <v>144</v>
      </c>
      <c r="J37" s="3" t="s">
        <v>17</v>
      </c>
    </row>
    <row r="38" customFormat="false" ht="23.25" hidden="false" customHeight="true" outlineLevel="0" collapsed="false">
      <c r="A38" s="3" t="n">
        <v>37</v>
      </c>
      <c r="B38" s="4" t="s">
        <v>145</v>
      </c>
      <c r="C38" s="3" t="s">
        <v>146</v>
      </c>
      <c r="D38" s="4" t="s">
        <v>128</v>
      </c>
      <c r="E38" s="3" t="s">
        <v>147</v>
      </c>
      <c r="F38" s="3" t="s">
        <v>148</v>
      </c>
      <c r="G38" s="3" t="s">
        <v>15</v>
      </c>
      <c r="H38" s="3" t="s">
        <v>15</v>
      </c>
      <c r="I38" s="4" t="s">
        <v>149</v>
      </c>
      <c r="J38" s="3" t="s">
        <v>17</v>
      </c>
    </row>
    <row r="39" customFormat="false" ht="57" hidden="false" customHeight="true" outlineLevel="0" collapsed="false">
      <c r="A39" s="3" t="n">
        <v>38</v>
      </c>
      <c r="B39" s="4" t="s">
        <v>150</v>
      </c>
      <c r="C39" s="3" t="s">
        <v>151</v>
      </c>
      <c r="D39" s="4" t="s">
        <v>128</v>
      </c>
      <c r="E39" s="3" t="s">
        <v>15</v>
      </c>
      <c r="F39" s="3" t="s">
        <v>15</v>
      </c>
      <c r="G39" s="3" t="s">
        <v>152</v>
      </c>
      <c r="H39" s="3" t="s">
        <v>15</v>
      </c>
      <c r="I39" s="4" t="s">
        <v>153</v>
      </c>
      <c r="J39" s="3" t="s">
        <v>17</v>
      </c>
    </row>
    <row r="40" customFormat="false" ht="57" hidden="false" customHeight="true" outlineLevel="0" collapsed="false">
      <c r="A40" s="3" t="n">
        <v>39</v>
      </c>
      <c r="B40" s="4" t="s">
        <v>154</v>
      </c>
      <c r="C40" s="3" t="s">
        <v>155</v>
      </c>
      <c r="D40" s="4" t="s">
        <v>128</v>
      </c>
      <c r="E40" s="3" t="s">
        <v>15</v>
      </c>
      <c r="F40" s="3" t="s">
        <v>15</v>
      </c>
      <c r="G40" s="3" t="s">
        <v>156</v>
      </c>
      <c r="H40" s="3" t="s">
        <v>15</v>
      </c>
      <c r="I40" s="4" t="s">
        <v>157</v>
      </c>
      <c r="J40" s="3" t="s">
        <v>17</v>
      </c>
    </row>
    <row r="41" customFormat="false" ht="34.5" hidden="false" customHeight="true" outlineLevel="0" collapsed="false">
      <c r="A41" s="3" t="n">
        <v>40</v>
      </c>
      <c r="B41" s="4" t="s">
        <v>158</v>
      </c>
      <c r="C41" s="3" t="s">
        <v>159</v>
      </c>
      <c r="D41" s="4" t="s">
        <v>128</v>
      </c>
      <c r="E41" s="3" t="s">
        <v>15</v>
      </c>
      <c r="F41" s="3" t="s">
        <v>15</v>
      </c>
      <c r="G41" s="3" t="s">
        <v>160</v>
      </c>
      <c r="H41" s="3" t="s">
        <v>15</v>
      </c>
      <c r="I41" s="4" t="s">
        <v>161</v>
      </c>
      <c r="J41" s="3" t="s">
        <v>17</v>
      </c>
    </row>
    <row r="42" customFormat="false" ht="57" hidden="false" customHeight="true" outlineLevel="0" collapsed="false">
      <c r="A42" s="3" t="n">
        <v>41</v>
      </c>
      <c r="B42" s="4" t="s">
        <v>162</v>
      </c>
      <c r="C42" s="3" t="s">
        <v>163</v>
      </c>
      <c r="D42" s="4" t="s">
        <v>128</v>
      </c>
      <c r="E42" s="3" t="s">
        <v>137</v>
      </c>
      <c r="F42" s="3" t="s">
        <v>15</v>
      </c>
      <c r="G42" s="3" t="s">
        <v>164</v>
      </c>
      <c r="H42" s="3" t="s">
        <v>15</v>
      </c>
      <c r="I42" s="4" t="s">
        <v>165</v>
      </c>
      <c r="J42" s="3" t="s">
        <v>17</v>
      </c>
    </row>
    <row r="43" customFormat="false" ht="45.75" hidden="false" customHeight="true" outlineLevel="0" collapsed="false">
      <c r="A43" s="3" t="n">
        <v>42</v>
      </c>
      <c r="B43" s="4" t="s">
        <v>166</v>
      </c>
      <c r="C43" s="3" t="s">
        <v>167</v>
      </c>
      <c r="D43" s="4" t="s">
        <v>168</v>
      </c>
      <c r="E43" s="3" t="s">
        <v>15</v>
      </c>
      <c r="F43" s="3" t="s">
        <v>15</v>
      </c>
      <c r="G43" s="3" t="s">
        <v>169</v>
      </c>
      <c r="H43" s="3" t="s">
        <v>15</v>
      </c>
      <c r="I43" s="4" t="s">
        <v>170</v>
      </c>
      <c r="J43" s="3" t="s">
        <v>17</v>
      </c>
    </row>
    <row r="44" customFormat="false" ht="57" hidden="false" customHeight="true" outlineLevel="0" collapsed="false">
      <c r="A44" s="3" t="n">
        <v>43</v>
      </c>
      <c r="B44" s="4" t="s">
        <v>171</v>
      </c>
      <c r="C44" s="3" t="s">
        <v>172</v>
      </c>
      <c r="D44" s="4" t="s">
        <v>173</v>
      </c>
      <c r="E44" s="3" t="s">
        <v>174</v>
      </c>
      <c r="F44" s="3" t="s">
        <v>175</v>
      </c>
      <c r="G44" s="3" t="s">
        <v>176</v>
      </c>
      <c r="H44" s="3" t="s">
        <v>15</v>
      </c>
      <c r="I44" s="4" t="s">
        <v>177</v>
      </c>
      <c r="J44" s="3" t="s">
        <v>17</v>
      </c>
    </row>
    <row r="45" customFormat="false" ht="34.5" hidden="false" customHeight="true" outlineLevel="0" collapsed="false">
      <c r="A45" s="3" t="n">
        <v>44</v>
      </c>
      <c r="B45" s="4" t="s">
        <v>178</v>
      </c>
      <c r="C45" s="3" t="s">
        <v>179</v>
      </c>
      <c r="D45" s="4" t="s">
        <v>173</v>
      </c>
      <c r="E45" s="3" t="s">
        <v>137</v>
      </c>
      <c r="F45" s="3" t="s">
        <v>180</v>
      </c>
      <c r="G45" s="3" t="s">
        <v>15</v>
      </c>
      <c r="H45" s="3" t="s">
        <v>15</v>
      </c>
      <c r="I45" s="4" t="s">
        <v>181</v>
      </c>
      <c r="J45" s="3" t="s">
        <v>17</v>
      </c>
    </row>
    <row r="46" customFormat="false" ht="45.75" hidden="false" customHeight="true" outlineLevel="0" collapsed="false">
      <c r="A46" s="3" t="n">
        <v>45</v>
      </c>
      <c r="B46" s="4" t="s">
        <v>182</v>
      </c>
      <c r="C46" s="3" t="s">
        <v>182</v>
      </c>
      <c r="D46" s="4" t="s">
        <v>183</v>
      </c>
      <c r="E46" s="3" t="s">
        <v>15</v>
      </c>
      <c r="F46" s="3" t="s">
        <v>15</v>
      </c>
      <c r="G46" s="3" t="s">
        <v>184</v>
      </c>
      <c r="H46" s="3" t="s">
        <v>15</v>
      </c>
      <c r="I46" s="4" t="s">
        <v>185</v>
      </c>
      <c r="J46" s="3" t="s">
        <v>17</v>
      </c>
    </row>
    <row r="47" customFormat="false" ht="34.5" hidden="false" customHeight="true" outlineLevel="0" collapsed="false">
      <c r="A47" s="3" t="n">
        <v>46</v>
      </c>
      <c r="B47" s="4" t="s">
        <v>186</v>
      </c>
      <c r="C47" s="3" t="s">
        <v>186</v>
      </c>
      <c r="D47" s="4" t="s">
        <v>183</v>
      </c>
      <c r="E47" s="3" t="s">
        <v>15</v>
      </c>
      <c r="F47" s="3" t="s">
        <v>15</v>
      </c>
      <c r="G47" s="3" t="s">
        <v>187</v>
      </c>
      <c r="H47" s="3" t="s">
        <v>15</v>
      </c>
      <c r="I47" s="4" t="s">
        <v>188</v>
      </c>
      <c r="J47" s="3" t="s">
        <v>17</v>
      </c>
    </row>
    <row r="48" customFormat="false" ht="45.75" hidden="false" customHeight="true" outlineLevel="0" collapsed="false">
      <c r="A48" s="3" t="n">
        <v>47</v>
      </c>
      <c r="B48" s="4" t="s">
        <v>189</v>
      </c>
      <c r="C48" s="3" t="s">
        <v>189</v>
      </c>
      <c r="D48" s="4" t="s">
        <v>183</v>
      </c>
      <c r="E48" s="3" t="s">
        <v>15</v>
      </c>
      <c r="F48" s="3" t="s">
        <v>190</v>
      </c>
      <c r="G48" s="3" t="s">
        <v>191</v>
      </c>
      <c r="H48" s="3" t="s">
        <v>15</v>
      </c>
      <c r="I48" s="4" t="s">
        <v>192</v>
      </c>
      <c r="J48" s="3" t="s">
        <v>17</v>
      </c>
    </row>
    <row r="49" customFormat="false" ht="34.5" hidden="false" customHeight="true" outlineLevel="0" collapsed="false">
      <c r="A49" s="3" t="n">
        <v>48</v>
      </c>
      <c r="B49" s="4" t="s">
        <v>193</v>
      </c>
      <c r="C49" s="3" t="s">
        <v>193</v>
      </c>
      <c r="D49" s="4" t="s">
        <v>183</v>
      </c>
      <c r="E49" s="3" t="s">
        <v>15</v>
      </c>
      <c r="F49" s="3" t="s">
        <v>15</v>
      </c>
      <c r="G49" s="3" t="s">
        <v>194</v>
      </c>
      <c r="H49" s="3" t="s">
        <v>15</v>
      </c>
      <c r="I49" s="4" t="s">
        <v>195</v>
      </c>
      <c r="J49" s="3" t="s">
        <v>17</v>
      </c>
    </row>
    <row r="50" customFormat="false" ht="34.5" hidden="false" customHeight="true" outlineLevel="0" collapsed="false">
      <c r="A50" s="3" t="n">
        <v>49</v>
      </c>
      <c r="B50" s="4" t="s">
        <v>196</v>
      </c>
      <c r="C50" s="3" t="s">
        <v>196</v>
      </c>
      <c r="D50" s="4" t="s">
        <v>183</v>
      </c>
      <c r="E50" s="3" t="s">
        <v>15</v>
      </c>
      <c r="F50" s="3" t="s">
        <v>197</v>
      </c>
      <c r="G50" s="3" t="s">
        <v>198</v>
      </c>
      <c r="H50" s="3" t="s">
        <v>15</v>
      </c>
      <c r="I50" s="4" t="s">
        <v>199</v>
      </c>
      <c r="J50" s="3" t="s">
        <v>17</v>
      </c>
    </row>
    <row r="51" customFormat="false" ht="57" hidden="false" customHeight="true" outlineLevel="0" collapsed="false">
      <c r="A51" s="3" t="n">
        <v>50</v>
      </c>
      <c r="B51" s="4" t="s">
        <v>200</v>
      </c>
      <c r="C51" s="3" t="s">
        <v>200</v>
      </c>
      <c r="D51" s="4" t="s">
        <v>183</v>
      </c>
      <c r="E51" s="3" t="s">
        <v>15</v>
      </c>
      <c r="F51" s="3" t="s">
        <v>15</v>
      </c>
      <c r="G51" s="3" t="s">
        <v>201</v>
      </c>
      <c r="H51" s="3" t="s">
        <v>15</v>
      </c>
      <c r="I51" s="4" t="s">
        <v>202</v>
      </c>
      <c r="J51" s="3" t="s">
        <v>17</v>
      </c>
    </row>
    <row r="52" customFormat="false" ht="45.75" hidden="false" customHeight="true" outlineLevel="0" collapsed="false">
      <c r="A52" s="3" t="n">
        <v>51</v>
      </c>
      <c r="B52" s="4" t="s">
        <v>203</v>
      </c>
      <c r="C52" s="3" t="s">
        <v>203</v>
      </c>
      <c r="D52" s="4" t="s">
        <v>183</v>
      </c>
      <c r="E52" s="3" t="s">
        <v>15</v>
      </c>
      <c r="F52" s="3" t="s">
        <v>15</v>
      </c>
      <c r="G52" s="3" t="s">
        <v>204</v>
      </c>
      <c r="H52" s="3" t="s">
        <v>15</v>
      </c>
      <c r="I52" s="4" t="s">
        <v>205</v>
      </c>
      <c r="J52" s="3" t="s">
        <v>17</v>
      </c>
    </row>
    <row r="53" customFormat="false" ht="57" hidden="false" customHeight="true" outlineLevel="0" collapsed="false">
      <c r="A53" s="3" t="n">
        <v>52</v>
      </c>
      <c r="B53" s="4" t="s">
        <v>206</v>
      </c>
      <c r="C53" s="3" t="s">
        <v>206</v>
      </c>
      <c r="D53" s="4" t="s">
        <v>183</v>
      </c>
      <c r="E53" s="3" t="s">
        <v>15</v>
      </c>
      <c r="F53" s="3" t="s">
        <v>15</v>
      </c>
      <c r="G53" s="3" t="s">
        <v>207</v>
      </c>
      <c r="H53" s="3" t="s">
        <v>15</v>
      </c>
      <c r="I53" s="4" t="s">
        <v>208</v>
      </c>
      <c r="J53" s="3" t="s">
        <v>17</v>
      </c>
    </row>
    <row r="54" customFormat="false" ht="68.25" hidden="false" customHeight="true" outlineLevel="0" collapsed="false">
      <c r="A54" s="3" t="n">
        <v>53</v>
      </c>
      <c r="B54" s="4" t="s">
        <v>209</v>
      </c>
      <c r="C54" s="3" t="s">
        <v>209</v>
      </c>
      <c r="D54" s="4" t="s">
        <v>183</v>
      </c>
      <c r="E54" s="3" t="s">
        <v>15</v>
      </c>
      <c r="F54" s="3" t="s">
        <v>210</v>
      </c>
      <c r="G54" s="3" t="s">
        <v>211</v>
      </c>
      <c r="H54" s="3" t="s">
        <v>15</v>
      </c>
      <c r="I54" s="4" t="s">
        <v>212</v>
      </c>
      <c r="J54" s="3" t="s">
        <v>17</v>
      </c>
    </row>
    <row r="55" customFormat="false" ht="45.75" hidden="false" customHeight="true" outlineLevel="0" collapsed="false">
      <c r="A55" s="3" t="n">
        <v>54</v>
      </c>
      <c r="B55" s="4" t="s">
        <v>213</v>
      </c>
      <c r="C55" s="3" t="s">
        <v>213</v>
      </c>
      <c r="D55" s="4" t="s">
        <v>183</v>
      </c>
      <c r="E55" s="3" t="s">
        <v>15</v>
      </c>
      <c r="F55" s="3" t="s">
        <v>15</v>
      </c>
      <c r="G55" s="3" t="s">
        <v>214</v>
      </c>
      <c r="H55" s="3" t="s">
        <v>15</v>
      </c>
      <c r="I55" s="4" t="s">
        <v>215</v>
      </c>
      <c r="J55" s="3" t="s">
        <v>17</v>
      </c>
    </row>
    <row r="56" customFormat="false" ht="45.75" hidden="false" customHeight="true" outlineLevel="0" collapsed="false">
      <c r="A56" s="3" t="n">
        <v>55</v>
      </c>
      <c r="B56" s="4" t="s">
        <v>216</v>
      </c>
      <c r="C56" s="3" t="s">
        <v>216</v>
      </c>
      <c r="D56" s="4" t="s">
        <v>183</v>
      </c>
      <c r="E56" s="3" t="s">
        <v>15</v>
      </c>
      <c r="F56" s="3" t="s">
        <v>217</v>
      </c>
      <c r="G56" s="3" t="s">
        <v>218</v>
      </c>
      <c r="H56" s="3" t="s">
        <v>15</v>
      </c>
      <c r="I56" s="4" t="s">
        <v>219</v>
      </c>
      <c r="J56" s="3" t="s">
        <v>17</v>
      </c>
    </row>
    <row r="57" customFormat="false" ht="34.5" hidden="false" customHeight="true" outlineLevel="0" collapsed="false">
      <c r="A57" s="3" t="n">
        <v>56</v>
      </c>
      <c r="B57" s="4" t="s">
        <v>220</v>
      </c>
      <c r="C57" s="3" t="s">
        <v>220</v>
      </c>
      <c r="D57" s="4" t="s">
        <v>183</v>
      </c>
      <c r="E57" s="3" t="s">
        <v>15</v>
      </c>
      <c r="F57" s="3" t="s">
        <v>15</v>
      </c>
      <c r="G57" s="3" t="s">
        <v>221</v>
      </c>
      <c r="H57" s="3" t="s">
        <v>15</v>
      </c>
      <c r="I57" s="4" t="s">
        <v>222</v>
      </c>
      <c r="J57" s="3" t="s">
        <v>17</v>
      </c>
    </row>
    <row r="58" customFormat="false" ht="45.75" hidden="false" customHeight="true" outlineLevel="0" collapsed="false">
      <c r="A58" s="3" t="n">
        <v>57</v>
      </c>
      <c r="B58" s="4" t="s">
        <v>223</v>
      </c>
      <c r="C58" s="3" t="s">
        <v>223</v>
      </c>
      <c r="D58" s="4" t="s">
        <v>183</v>
      </c>
      <c r="E58" s="3" t="s">
        <v>15</v>
      </c>
      <c r="F58" s="3" t="s">
        <v>15</v>
      </c>
      <c r="G58" s="3" t="s">
        <v>224</v>
      </c>
      <c r="H58" s="3" t="s">
        <v>15</v>
      </c>
      <c r="I58" s="4" t="s">
        <v>225</v>
      </c>
      <c r="J58" s="3" t="s">
        <v>17</v>
      </c>
    </row>
    <row r="59" customFormat="false" ht="57" hidden="false" customHeight="true" outlineLevel="0" collapsed="false">
      <c r="A59" s="3" t="n">
        <v>58</v>
      </c>
      <c r="B59" s="4" t="s">
        <v>226</v>
      </c>
      <c r="C59" s="3" t="s">
        <v>226</v>
      </c>
      <c r="D59" s="4" t="s">
        <v>183</v>
      </c>
      <c r="E59" s="3" t="s">
        <v>15</v>
      </c>
      <c r="F59" s="3" t="s">
        <v>227</v>
      </c>
      <c r="G59" s="3" t="s">
        <v>228</v>
      </c>
      <c r="H59" s="3" t="s">
        <v>15</v>
      </c>
      <c r="I59" s="4" t="s">
        <v>229</v>
      </c>
      <c r="J59" s="3" t="s">
        <v>17</v>
      </c>
    </row>
    <row r="60" customFormat="false" ht="68.25" hidden="false" customHeight="true" outlineLevel="0" collapsed="false">
      <c r="A60" s="3" t="n">
        <v>59</v>
      </c>
      <c r="B60" s="4" t="s">
        <v>230</v>
      </c>
      <c r="C60" s="3" t="s">
        <v>230</v>
      </c>
      <c r="D60" s="4" t="s">
        <v>183</v>
      </c>
      <c r="E60" s="3" t="s">
        <v>15</v>
      </c>
      <c r="F60" s="3" t="s">
        <v>15</v>
      </c>
      <c r="G60" s="3" t="s">
        <v>231</v>
      </c>
      <c r="H60" s="3" t="s">
        <v>15</v>
      </c>
      <c r="I60" s="4" t="s">
        <v>232</v>
      </c>
      <c r="J60" s="3" t="s">
        <v>17</v>
      </c>
    </row>
    <row r="61" customFormat="false" ht="57" hidden="false" customHeight="true" outlineLevel="0" collapsed="false">
      <c r="A61" s="3" t="n">
        <v>60</v>
      </c>
      <c r="B61" s="4" t="s">
        <v>233</v>
      </c>
      <c r="C61" s="3" t="s">
        <v>233</v>
      </c>
      <c r="D61" s="4" t="s">
        <v>183</v>
      </c>
      <c r="E61" s="3" t="s">
        <v>15</v>
      </c>
      <c r="F61" s="3" t="s">
        <v>234</v>
      </c>
      <c r="G61" s="3" t="s">
        <v>235</v>
      </c>
      <c r="H61" s="3" t="s">
        <v>15</v>
      </c>
      <c r="I61" s="4" t="s">
        <v>236</v>
      </c>
      <c r="J61" s="3" t="s">
        <v>17</v>
      </c>
    </row>
    <row r="62" customFormat="false" ht="57" hidden="false" customHeight="true" outlineLevel="0" collapsed="false">
      <c r="A62" s="3" t="n">
        <v>61</v>
      </c>
      <c r="B62" s="4" t="s">
        <v>237</v>
      </c>
      <c r="C62" s="3" t="s">
        <v>237</v>
      </c>
      <c r="D62" s="4" t="s">
        <v>183</v>
      </c>
      <c r="E62" s="3" t="s">
        <v>15</v>
      </c>
      <c r="F62" s="3" t="s">
        <v>238</v>
      </c>
      <c r="G62" s="3" t="s">
        <v>239</v>
      </c>
      <c r="H62" s="3" t="s">
        <v>15</v>
      </c>
      <c r="I62" s="4" t="s">
        <v>240</v>
      </c>
      <c r="J62" s="3" t="s">
        <v>17</v>
      </c>
    </row>
    <row r="63" customFormat="false" ht="45.75" hidden="false" customHeight="true" outlineLevel="0" collapsed="false">
      <c r="A63" s="3" t="n">
        <v>62</v>
      </c>
      <c r="B63" s="4" t="s">
        <v>241</v>
      </c>
      <c r="C63" s="3" t="s">
        <v>241</v>
      </c>
      <c r="D63" s="4" t="s">
        <v>183</v>
      </c>
      <c r="E63" s="3" t="s">
        <v>15</v>
      </c>
      <c r="F63" s="3" t="s">
        <v>15</v>
      </c>
      <c r="G63" s="3" t="s">
        <v>242</v>
      </c>
      <c r="H63" s="3" t="s">
        <v>15</v>
      </c>
      <c r="I63" s="4" t="s">
        <v>243</v>
      </c>
      <c r="J63" s="3" t="s">
        <v>17</v>
      </c>
    </row>
    <row r="64" customFormat="false" ht="45.75" hidden="false" customHeight="true" outlineLevel="0" collapsed="false">
      <c r="A64" s="3" t="n">
        <v>63</v>
      </c>
      <c r="B64" s="4" t="s">
        <v>244</v>
      </c>
      <c r="C64" s="3" t="s">
        <v>244</v>
      </c>
      <c r="D64" s="4" t="s">
        <v>183</v>
      </c>
      <c r="E64" s="3" t="s">
        <v>15</v>
      </c>
      <c r="F64" s="3" t="s">
        <v>245</v>
      </c>
      <c r="G64" s="3" t="s">
        <v>246</v>
      </c>
      <c r="H64" s="3" t="s">
        <v>15</v>
      </c>
      <c r="I64" s="4" t="s">
        <v>247</v>
      </c>
      <c r="J64" s="3" t="s">
        <v>17</v>
      </c>
    </row>
    <row r="65" customFormat="false" ht="45.75" hidden="false" customHeight="true" outlineLevel="0" collapsed="false">
      <c r="A65" s="3" t="n">
        <v>64</v>
      </c>
      <c r="B65" s="4" t="s">
        <v>248</v>
      </c>
      <c r="C65" s="3" t="s">
        <v>248</v>
      </c>
      <c r="D65" s="4" t="s">
        <v>183</v>
      </c>
      <c r="E65" s="3" t="s">
        <v>15</v>
      </c>
      <c r="F65" s="3" t="s">
        <v>249</v>
      </c>
      <c r="G65" s="3" t="s">
        <v>250</v>
      </c>
      <c r="H65" s="3" t="s">
        <v>15</v>
      </c>
      <c r="I65" s="4" t="s">
        <v>251</v>
      </c>
      <c r="J65" s="3" t="s">
        <v>17</v>
      </c>
    </row>
    <row r="66" customFormat="false" ht="45.75" hidden="false" customHeight="true" outlineLevel="0" collapsed="false">
      <c r="A66" s="3" t="n">
        <v>65</v>
      </c>
      <c r="B66" s="4" t="s">
        <v>252</v>
      </c>
      <c r="C66" s="3" t="s">
        <v>252</v>
      </c>
      <c r="D66" s="4" t="s">
        <v>183</v>
      </c>
      <c r="E66" s="3" t="s">
        <v>15</v>
      </c>
      <c r="F66" s="3" t="s">
        <v>253</v>
      </c>
      <c r="G66" s="3" t="s">
        <v>254</v>
      </c>
      <c r="H66" s="3" t="s">
        <v>15</v>
      </c>
      <c r="I66" s="4" t="s">
        <v>255</v>
      </c>
      <c r="J66" s="3" t="s">
        <v>17</v>
      </c>
    </row>
    <row r="67" customFormat="false" ht="45.75" hidden="false" customHeight="true" outlineLevel="0" collapsed="false">
      <c r="A67" s="3" t="n">
        <v>66</v>
      </c>
      <c r="B67" s="4" t="s">
        <v>256</v>
      </c>
      <c r="C67" s="3" t="s">
        <v>256</v>
      </c>
      <c r="D67" s="4" t="s">
        <v>183</v>
      </c>
      <c r="E67" s="3" t="s">
        <v>15</v>
      </c>
      <c r="F67" s="3" t="s">
        <v>15</v>
      </c>
      <c r="G67" s="3" t="s">
        <v>257</v>
      </c>
      <c r="H67" s="3" t="s">
        <v>15</v>
      </c>
      <c r="I67" s="4" t="s">
        <v>258</v>
      </c>
      <c r="J67" s="3" t="s">
        <v>17</v>
      </c>
    </row>
    <row r="68" customFormat="false" ht="57" hidden="false" customHeight="true" outlineLevel="0" collapsed="false">
      <c r="A68" s="3" t="n">
        <v>67</v>
      </c>
      <c r="B68" s="4" t="s">
        <v>259</v>
      </c>
      <c r="C68" s="3" t="s">
        <v>259</v>
      </c>
      <c r="D68" s="4" t="s">
        <v>183</v>
      </c>
      <c r="E68" s="3" t="s">
        <v>15</v>
      </c>
      <c r="F68" s="3" t="s">
        <v>15</v>
      </c>
      <c r="G68" s="3" t="s">
        <v>260</v>
      </c>
      <c r="H68" s="3" t="s">
        <v>15</v>
      </c>
      <c r="I68" s="4" t="s">
        <v>261</v>
      </c>
      <c r="J68" s="3" t="s">
        <v>17</v>
      </c>
    </row>
    <row r="69" customFormat="false" ht="45.75" hidden="false" customHeight="true" outlineLevel="0" collapsed="false">
      <c r="A69" s="3" t="n">
        <v>68</v>
      </c>
      <c r="B69" s="4" t="s">
        <v>262</v>
      </c>
      <c r="C69" s="3" t="s">
        <v>262</v>
      </c>
      <c r="D69" s="4" t="s">
        <v>183</v>
      </c>
      <c r="E69" s="3" t="s">
        <v>15</v>
      </c>
      <c r="F69" s="3" t="s">
        <v>15</v>
      </c>
      <c r="G69" s="3" t="s">
        <v>257</v>
      </c>
      <c r="H69" s="3" t="s">
        <v>15</v>
      </c>
      <c r="I69" s="4" t="s">
        <v>258</v>
      </c>
      <c r="J69" s="3" t="s">
        <v>17</v>
      </c>
    </row>
    <row r="70" customFormat="false" ht="68.25" hidden="false" customHeight="true" outlineLevel="0" collapsed="false">
      <c r="A70" s="3" t="n">
        <v>69</v>
      </c>
      <c r="B70" s="4" t="s">
        <v>263</v>
      </c>
      <c r="C70" s="3" t="s">
        <v>263</v>
      </c>
      <c r="D70" s="4" t="s">
        <v>183</v>
      </c>
      <c r="E70" s="3" t="s">
        <v>15</v>
      </c>
      <c r="F70" s="3" t="s">
        <v>264</v>
      </c>
      <c r="G70" s="3" t="s">
        <v>265</v>
      </c>
      <c r="H70" s="3" t="s">
        <v>15</v>
      </c>
      <c r="I70" s="4" t="s">
        <v>266</v>
      </c>
      <c r="J70" s="3" t="s">
        <v>17</v>
      </c>
    </row>
    <row r="71" customFormat="false" ht="45.75" hidden="false" customHeight="true" outlineLevel="0" collapsed="false">
      <c r="A71" s="3" t="n">
        <v>70</v>
      </c>
      <c r="B71" s="4" t="s">
        <v>267</v>
      </c>
      <c r="C71" s="3" t="s">
        <v>267</v>
      </c>
      <c r="D71" s="4" t="s">
        <v>183</v>
      </c>
      <c r="E71" s="3" t="s">
        <v>15</v>
      </c>
      <c r="F71" s="3" t="s">
        <v>15</v>
      </c>
      <c r="G71" s="3" t="s">
        <v>242</v>
      </c>
      <c r="H71" s="3" t="s">
        <v>15</v>
      </c>
      <c r="I71" s="4" t="s">
        <v>243</v>
      </c>
      <c r="J71" s="3" t="s">
        <v>17</v>
      </c>
    </row>
    <row r="72" customFormat="false" ht="45.75" hidden="false" customHeight="true" outlineLevel="0" collapsed="false">
      <c r="A72" s="3" t="n">
        <v>71</v>
      </c>
      <c r="B72" s="4" t="s">
        <v>268</v>
      </c>
      <c r="C72" s="3" t="s">
        <v>268</v>
      </c>
      <c r="D72" s="4" t="s">
        <v>183</v>
      </c>
      <c r="E72" s="3" t="s">
        <v>15</v>
      </c>
      <c r="F72" s="3" t="s">
        <v>15</v>
      </c>
      <c r="G72" s="3" t="s">
        <v>269</v>
      </c>
      <c r="H72" s="3" t="s">
        <v>15</v>
      </c>
      <c r="I72" s="4" t="s">
        <v>270</v>
      </c>
      <c r="J72" s="3" t="s">
        <v>17</v>
      </c>
    </row>
    <row r="73" customFormat="false" ht="34.5" hidden="false" customHeight="true" outlineLevel="0" collapsed="false">
      <c r="A73" s="3" t="n">
        <v>72</v>
      </c>
      <c r="B73" s="4" t="s">
        <v>271</v>
      </c>
      <c r="C73" s="3" t="s">
        <v>271</v>
      </c>
      <c r="D73" s="4" t="s">
        <v>183</v>
      </c>
      <c r="E73" s="3" t="s">
        <v>15</v>
      </c>
      <c r="F73" s="3" t="s">
        <v>15</v>
      </c>
      <c r="G73" s="3" t="s">
        <v>272</v>
      </c>
      <c r="H73" s="3" t="s">
        <v>15</v>
      </c>
      <c r="I73" s="4" t="s">
        <v>273</v>
      </c>
      <c r="J73" s="3" t="s">
        <v>17</v>
      </c>
    </row>
    <row r="74" customFormat="false" ht="68.25" hidden="false" customHeight="true" outlineLevel="0" collapsed="false">
      <c r="A74" s="3" t="n">
        <v>73</v>
      </c>
      <c r="B74" s="4" t="s">
        <v>274</v>
      </c>
      <c r="C74" s="3" t="s">
        <v>274</v>
      </c>
      <c r="D74" s="4" t="s">
        <v>183</v>
      </c>
      <c r="E74" s="3" t="s">
        <v>15</v>
      </c>
      <c r="F74" s="3" t="s">
        <v>275</v>
      </c>
      <c r="G74" s="3" t="s">
        <v>276</v>
      </c>
      <c r="H74" s="3" t="s">
        <v>15</v>
      </c>
      <c r="I74" s="4" t="s">
        <v>277</v>
      </c>
      <c r="J74" s="3" t="s">
        <v>17</v>
      </c>
    </row>
    <row r="75" customFormat="false" ht="45.75" hidden="false" customHeight="true" outlineLevel="0" collapsed="false">
      <c r="A75" s="3" t="n">
        <v>74</v>
      </c>
      <c r="B75" s="4" t="s">
        <v>278</v>
      </c>
      <c r="C75" s="3" t="s">
        <v>278</v>
      </c>
      <c r="D75" s="4" t="s">
        <v>183</v>
      </c>
      <c r="E75" s="3" t="s">
        <v>15</v>
      </c>
      <c r="F75" s="3" t="s">
        <v>15</v>
      </c>
      <c r="G75" s="3" t="s">
        <v>279</v>
      </c>
      <c r="H75" s="3" t="s">
        <v>15</v>
      </c>
      <c r="I75" s="4" t="s">
        <v>280</v>
      </c>
      <c r="J75" s="3" t="s">
        <v>17</v>
      </c>
    </row>
    <row r="76" customFormat="false" ht="45.75" hidden="false" customHeight="true" outlineLevel="0" collapsed="false">
      <c r="A76" s="3" t="n">
        <v>75</v>
      </c>
      <c r="B76" s="4" t="s">
        <v>281</v>
      </c>
      <c r="C76" s="3" t="s">
        <v>281</v>
      </c>
      <c r="D76" s="4" t="s">
        <v>183</v>
      </c>
      <c r="E76" s="3" t="s">
        <v>15</v>
      </c>
      <c r="F76" s="3" t="s">
        <v>15</v>
      </c>
      <c r="G76" s="3" t="s">
        <v>282</v>
      </c>
      <c r="H76" s="3" t="s">
        <v>15</v>
      </c>
      <c r="I76" s="4" t="s">
        <v>283</v>
      </c>
      <c r="J76" s="3" t="s">
        <v>17</v>
      </c>
    </row>
    <row r="77" customFormat="false" ht="45.75" hidden="false" customHeight="true" outlineLevel="0" collapsed="false">
      <c r="A77" s="3" t="n">
        <v>76</v>
      </c>
      <c r="B77" s="4" t="s">
        <v>284</v>
      </c>
      <c r="C77" s="3" t="s">
        <v>285</v>
      </c>
      <c r="D77" s="4" t="s">
        <v>183</v>
      </c>
      <c r="E77" s="3" t="s">
        <v>147</v>
      </c>
      <c r="F77" s="3" t="s">
        <v>286</v>
      </c>
      <c r="G77" s="3" t="s">
        <v>15</v>
      </c>
      <c r="H77" s="3" t="s">
        <v>15</v>
      </c>
      <c r="I77" s="4" t="s">
        <v>287</v>
      </c>
      <c r="J77" s="3" t="s">
        <v>17</v>
      </c>
    </row>
    <row r="78" customFormat="false" ht="45.75" hidden="false" customHeight="true" outlineLevel="0" collapsed="false">
      <c r="A78" s="3" t="n">
        <v>77</v>
      </c>
      <c r="B78" s="4" t="s">
        <v>288</v>
      </c>
      <c r="C78" s="3" t="s">
        <v>289</v>
      </c>
      <c r="D78" s="4" t="s">
        <v>183</v>
      </c>
      <c r="E78" s="3" t="s">
        <v>290</v>
      </c>
      <c r="F78" s="3" t="s">
        <v>15</v>
      </c>
      <c r="G78" s="3" t="s">
        <v>291</v>
      </c>
      <c r="H78" s="3" t="s">
        <v>15</v>
      </c>
      <c r="I78" s="4" t="s">
        <v>292</v>
      </c>
      <c r="J78" s="3" t="s">
        <v>17</v>
      </c>
    </row>
    <row r="79" customFormat="false" ht="45.75" hidden="false" customHeight="true" outlineLevel="0" collapsed="false">
      <c r="A79" s="3" t="n">
        <v>78</v>
      </c>
      <c r="B79" s="4" t="s">
        <v>293</v>
      </c>
      <c r="C79" s="3" t="s">
        <v>294</v>
      </c>
      <c r="D79" s="4" t="s">
        <v>183</v>
      </c>
      <c r="E79" s="3" t="s">
        <v>15</v>
      </c>
      <c r="F79" s="3" t="s">
        <v>15</v>
      </c>
      <c r="G79" s="3" t="s">
        <v>295</v>
      </c>
      <c r="H79" s="3" t="s">
        <v>15</v>
      </c>
      <c r="I79" s="4" t="s">
        <v>296</v>
      </c>
      <c r="J79" s="3" t="s">
        <v>17</v>
      </c>
    </row>
    <row r="80" customFormat="false" ht="68.25" hidden="false" customHeight="true" outlineLevel="0" collapsed="false">
      <c r="A80" s="3" t="n">
        <v>79</v>
      </c>
      <c r="B80" s="4" t="s">
        <v>297</v>
      </c>
      <c r="C80" s="3" t="s">
        <v>298</v>
      </c>
      <c r="D80" s="4" t="s">
        <v>183</v>
      </c>
      <c r="E80" s="3" t="s">
        <v>15</v>
      </c>
      <c r="F80" s="3" t="s">
        <v>15</v>
      </c>
      <c r="G80" s="3" t="s">
        <v>299</v>
      </c>
      <c r="H80" s="3" t="s">
        <v>15</v>
      </c>
      <c r="I80" s="4" t="s">
        <v>300</v>
      </c>
      <c r="J80" s="3" t="s">
        <v>17</v>
      </c>
    </row>
    <row r="81" customFormat="false" ht="45.75" hidden="false" customHeight="true" outlineLevel="0" collapsed="false">
      <c r="A81" s="3" t="n">
        <v>80</v>
      </c>
      <c r="B81" s="4" t="s">
        <v>301</v>
      </c>
      <c r="C81" s="3" t="s">
        <v>302</v>
      </c>
      <c r="D81" s="4" t="s">
        <v>183</v>
      </c>
      <c r="E81" s="3" t="s">
        <v>290</v>
      </c>
      <c r="F81" s="3" t="s">
        <v>15</v>
      </c>
      <c r="G81" s="3" t="s">
        <v>303</v>
      </c>
      <c r="H81" s="3" t="s">
        <v>15</v>
      </c>
      <c r="I81" s="4" t="s">
        <v>304</v>
      </c>
      <c r="J81" s="3" t="s">
        <v>17</v>
      </c>
    </row>
    <row r="82" customFormat="false" ht="45.75" hidden="false" customHeight="true" outlineLevel="0" collapsed="false">
      <c r="A82" s="3" t="n">
        <v>81</v>
      </c>
      <c r="B82" s="4" t="s">
        <v>305</v>
      </c>
      <c r="C82" s="3" t="s">
        <v>306</v>
      </c>
      <c r="D82" s="4" t="s">
        <v>183</v>
      </c>
      <c r="E82" s="3" t="s">
        <v>290</v>
      </c>
      <c r="F82" s="3" t="s">
        <v>15</v>
      </c>
      <c r="G82" s="3" t="s">
        <v>307</v>
      </c>
      <c r="H82" s="3" t="s">
        <v>15</v>
      </c>
      <c r="I82" s="4" t="s">
        <v>308</v>
      </c>
      <c r="J82" s="3" t="s">
        <v>17</v>
      </c>
    </row>
    <row r="83" customFormat="false" ht="57" hidden="false" customHeight="true" outlineLevel="0" collapsed="false">
      <c r="A83" s="3" t="n">
        <v>82</v>
      </c>
      <c r="B83" s="4" t="s">
        <v>309</v>
      </c>
      <c r="C83" s="3" t="s">
        <v>310</v>
      </c>
      <c r="D83" s="4" t="s">
        <v>183</v>
      </c>
      <c r="E83" s="3" t="s">
        <v>15</v>
      </c>
      <c r="F83" s="3" t="s">
        <v>15</v>
      </c>
      <c r="G83" s="3" t="s">
        <v>311</v>
      </c>
      <c r="H83" s="3" t="s">
        <v>15</v>
      </c>
      <c r="I83" s="4" t="s">
        <v>312</v>
      </c>
      <c r="J83" s="3" t="s">
        <v>17</v>
      </c>
    </row>
    <row r="84" customFormat="false" ht="45.75" hidden="false" customHeight="true" outlineLevel="0" collapsed="false">
      <c r="A84" s="3" t="n">
        <v>83</v>
      </c>
      <c r="B84" s="4" t="s">
        <v>313</v>
      </c>
      <c r="C84" s="3" t="s">
        <v>314</v>
      </c>
      <c r="D84" s="4" t="s">
        <v>183</v>
      </c>
      <c r="E84" s="3" t="s">
        <v>290</v>
      </c>
      <c r="F84" s="3" t="s">
        <v>15</v>
      </c>
      <c r="G84" s="3" t="s">
        <v>315</v>
      </c>
      <c r="H84" s="3" t="s">
        <v>15</v>
      </c>
      <c r="I84" s="4" t="s">
        <v>316</v>
      </c>
      <c r="J84" s="3" t="s">
        <v>17</v>
      </c>
    </row>
    <row r="85" customFormat="false" ht="34.5" hidden="false" customHeight="true" outlineLevel="0" collapsed="false">
      <c r="A85" s="3" t="n">
        <v>84</v>
      </c>
      <c r="B85" s="4" t="s">
        <v>317</v>
      </c>
      <c r="C85" s="3" t="s">
        <v>318</v>
      </c>
      <c r="D85" s="4" t="s">
        <v>183</v>
      </c>
      <c r="E85" s="3" t="s">
        <v>290</v>
      </c>
      <c r="F85" s="3" t="s">
        <v>15</v>
      </c>
      <c r="G85" s="3" t="s">
        <v>319</v>
      </c>
      <c r="H85" s="3" t="s">
        <v>15</v>
      </c>
      <c r="I85" s="4" t="s">
        <v>320</v>
      </c>
      <c r="J85" s="3" t="s">
        <v>17</v>
      </c>
    </row>
    <row r="86" customFormat="false" ht="45.75" hidden="false" customHeight="true" outlineLevel="0" collapsed="false">
      <c r="A86" s="3" t="n">
        <v>85</v>
      </c>
      <c r="B86" s="4" t="s">
        <v>321</v>
      </c>
      <c r="C86" s="3" t="s">
        <v>322</v>
      </c>
      <c r="D86" s="4" t="s">
        <v>183</v>
      </c>
      <c r="E86" s="3" t="s">
        <v>290</v>
      </c>
      <c r="F86" s="3" t="s">
        <v>323</v>
      </c>
      <c r="G86" s="3" t="s">
        <v>324</v>
      </c>
      <c r="H86" s="3" t="s">
        <v>15</v>
      </c>
      <c r="I86" s="4" t="s">
        <v>325</v>
      </c>
      <c r="J86" s="3" t="s">
        <v>17</v>
      </c>
    </row>
    <row r="87" customFormat="false" ht="45.75" hidden="false" customHeight="true" outlineLevel="0" collapsed="false">
      <c r="A87" s="3" t="n">
        <v>86</v>
      </c>
      <c r="B87" s="4" t="s">
        <v>326</v>
      </c>
      <c r="C87" s="3" t="s">
        <v>327</v>
      </c>
      <c r="D87" s="4" t="s">
        <v>183</v>
      </c>
      <c r="E87" s="3" t="s">
        <v>290</v>
      </c>
      <c r="F87" s="3" t="s">
        <v>15</v>
      </c>
      <c r="G87" s="3" t="s">
        <v>328</v>
      </c>
      <c r="H87" s="3" t="s">
        <v>15</v>
      </c>
      <c r="I87" s="4" t="s">
        <v>329</v>
      </c>
      <c r="J87" s="3" t="s">
        <v>17</v>
      </c>
    </row>
    <row r="88" customFormat="false" ht="57" hidden="false" customHeight="true" outlineLevel="0" collapsed="false">
      <c r="A88" s="3" t="n">
        <v>87</v>
      </c>
      <c r="B88" s="4" t="s">
        <v>330</v>
      </c>
      <c r="C88" s="3" t="s">
        <v>331</v>
      </c>
      <c r="D88" s="4" t="s">
        <v>183</v>
      </c>
      <c r="E88" s="3" t="s">
        <v>15</v>
      </c>
      <c r="F88" s="3" t="s">
        <v>15</v>
      </c>
      <c r="G88" s="3" t="s">
        <v>332</v>
      </c>
      <c r="H88" s="3" t="s">
        <v>15</v>
      </c>
      <c r="I88" s="4" t="s">
        <v>333</v>
      </c>
      <c r="J88" s="3" t="s">
        <v>17</v>
      </c>
    </row>
    <row r="89" customFormat="false" ht="57" hidden="false" customHeight="true" outlineLevel="0" collapsed="false">
      <c r="A89" s="3" t="n">
        <v>88</v>
      </c>
      <c r="B89" s="4" t="s">
        <v>334</v>
      </c>
      <c r="C89" s="3" t="s">
        <v>335</v>
      </c>
      <c r="D89" s="4" t="s">
        <v>183</v>
      </c>
      <c r="E89" s="3" t="s">
        <v>147</v>
      </c>
      <c r="F89" s="3" t="s">
        <v>15</v>
      </c>
      <c r="G89" s="3" t="s">
        <v>336</v>
      </c>
      <c r="H89" s="3" t="s">
        <v>15</v>
      </c>
      <c r="I89" s="4" t="s">
        <v>337</v>
      </c>
      <c r="J89" s="3" t="s">
        <v>17</v>
      </c>
    </row>
    <row r="90" customFormat="false" ht="45.75" hidden="false" customHeight="true" outlineLevel="0" collapsed="false">
      <c r="A90" s="3" t="n">
        <v>89</v>
      </c>
      <c r="B90" s="4" t="s">
        <v>338</v>
      </c>
      <c r="C90" s="3" t="s">
        <v>339</v>
      </c>
      <c r="D90" s="4" t="s">
        <v>183</v>
      </c>
      <c r="E90" s="3" t="s">
        <v>147</v>
      </c>
      <c r="F90" s="3" t="s">
        <v>340</v>
      </c>
      <c r="G90" s="3" t="s">
        <v>341</v>
      </c>
      <c r="H90" s="3" t="s">
        <v>15</v>
      </c>
      <c r="I90" s="4" t="s">
        <v>342</v>
      </c>
      <c r="J90" s="3" t="s">
        <v>17</v>
      </c>
    </row>
    <row r="91" customFormat="false" ht="57" hidden="false" customHeight="true" outlineLevel="0" collapsed="false">
      <c r="A91" s="3" t="n">
        <v>90</v>
      </c>
      <c r="B91" s="4" t="s">
        <v>343</v>
      </c>
      <c r="C91" s="3" t="s">
        <v>344</v>
      </c>
      <c r="D91" s="4" t="s">
        <v>183</v>
      </c>
      <c r="E91" s="3" t="s">
        <v>345</v>
      </c>
      <c r="F91" s="3" t="s">
        <v>15</v>
      </c>
      <c r="G91" s="3" t="s">
        <v>346</v>
      </c>
      <c r="H91" s="3" t="s">
        <v>15</v>
      </c>
      <c r="I91" s="4" t="s">
        <v>347</v>
      </c>
      <c r="J91" s="3" t="s">
        <v>17</v>
      </c>
    </row>
    <row r="92" customFormat="false" ht="34.5" hidden="false" customHeight="true" outlineLevel="0" collapsed="false">
      <c r="A92" s="3" t="n">
        <v>91</v>
      </c>
      <c r="B92" s="4" t="s">
        <v>348</v>
      </c>
      <c r="C92" s="3" t="s">
        <v>349</v>
      </c>
      <c r="D92" s="4" t="s">
        <v>183</v>
      </c>
      <c r="E92" s="3" t="s">
        <v>15</v>
      </c>
      <c r="F92" s="3" t="s">
        <v>15</v>
      </c>
      <c r="G92" s="3" t="s">
        <v>350</v>
      </c>
      <c r="H92" s="3" t="s">
        <v>15</v>
      </c>
      <c r="I92" s="4" t="s">
        <v>351</v>
      </c>
      <c r="J92" s="3" t="s">
        <v>17</v>
      </c>
    </row>
    <row r="93" customFormat="false" ht="45.75" hidden="false" customHeight="true" outlineLevel="0" collapsed="false">
      <c r="A93" s="3" t="n">
        <v>92</v>
      </c>
      <c r="B93" s="4" t="s">
        <v>352</v>
      </c>
      <c r="C93" s="3" t="s">
        <v>353</v>
      </c>
      <c r="D93" s="4" t="s">
        <v>183</v>
      </c>
      <c r="E93" s="3" t="s">
        <v>15</v>
      </c>
      <c r="F93" s="3" t="s">
        <v>15</v>
      </c>
      <c r="G93" s="3" t="s">
        <v>354</v>
      </c>
      <c r="H93" s="3" t="s">
        <v>15</v>
      </c>
      <c r="I93" s="4" t="s">
        <v>355</v>
      </c>
      <c r="J93" s="3" t="s">
        <v>17</v>
      </c>
    </row>
    <row r="94" customFormat="false" ht="57" hidden="false" customHeight="true" outlineLevel="0" collapsed="false">
      <c r="A94" s="3" t="n">
        <v>93</v>
      </c>
      <c r="B94" s="4" t="s">
        <v>356</v>
      </c>
      <c r="C94" s="3" t="s">
        <v>357</v>
      </c>
      <c r="D94" s="4" t="s">
        <v>183</v>
      </c>
      <c r="E94" s="3" t="s">
        <v>15</v>
      </c>
      <c r="F94" s="3" t="s">
        <v>15</v>
      </c>
      <c r="G94" s="3" t="s">
        <v>358</v>
      </c>
      <c r="H94" s="3" t="s">
        <v>15</v>
      </c>
      <c r="I94" s="4" t="s">
        <v>359</v>
      </c>
      <c r="J94" s="3" t="s">
        <v>17</v>
      </c>
    </row>
    <row r="95" customFormat="false" ht="34.5" hidden="false" customHeight="true" outlineLevel="0" collapsed="false">
      <c r="A95" s="3" t="n">
        <v>94</v>
      </c>
      <c r="B95" s="4" t="s">
        <v>360</v>
      </c>
      <c r="C95" s="3" t="s">
        <v>361</v>
      </c>
      <c r="D95" s="4" t="s">
        <v>183</v>
      </c>
      <c r="E95" s="3" t="s">
        <v>15</v>
      </c>
      <c r="F95" s="3" t="s">
        <v>15</v>
      </c>
      <c r="G95" s="3" t="s">
        <v>362</v>
      </c>
      <c r="H95" s="3" t="s">
        <v>15</v>
      </c>
      <c r="I95" s="4" t="s">
        <v>363</v>
      </c>
      <c r="J95" s="3" t="s">
        <v>17</v>
      </c>
    </row>
    <row r="96" customFormat="false" ht="34.5" hidden="false" customHeight="true" outlineLevel="0" collapsed="false">
      <c r="A96" s="3" t="n">
        <v>95</v>
      </c>
      <c r="B96" s="4" t="s">
        <v>364</v>
      </c>
      <c r="C96" s="3" t="s">
        <v>365</v>
      </c>
      <c r="D96" s="4" t="s">
        <v>183</v>
      </c>
      <c r="E96" s="3" t="s">
        <v>345</v>
      </c>
      <c r="F96" s="3" t="s">
        <v>366</v>
      </c>
      <c r="G96" s="3" t="s">
        <v>15</v>
      </c>
      <c r="H96" s="3" t="s">
        <v>15</v>
      </c>
      <c r="I96" s="4" t="s">
        <v>367</v>
      </c>
      <c r="J96" s="3" t="s">
        <v>17</v>
      </c>
    </row>
    <row r="97" customFormat="false" ht="45.75" hidden="false" customHeight="true" outlineLevel="0" collapsed="false">
      <c r="A97" s="3" t="n">
        <v>96</v>
      </c>
      <c r="B97" s="4" t="s">
        <v>368</v>
      </c>
      <c r="C97" s="3" t="s">
        <v>369</v>
      </c>
      <c r="D97" s="4" t="s">
        <v>183</v>
      </c>
      <c r="E97" s="3" t="s">
        <v>15</v>
      </c>
      <c r="F97" s="3" t="s">
        <v>15</v>
      </c>
      <c r="G97" s="3" t="s">
        <v>370</v>
      </c>
      <c r="H97" s="3" t="s">
        <v>15</v>
      </c>
      <c r="I97" s="4" t="s">
        <v>371</v>
      </c>
      <c r="J97" s="3" t="s">
        <v>17</v>
      </c>
    </row>
    <row r="98" customFormat="false" ht="45.75" hidden="false" customHeight="true" outlineLevel="0" collapsed="false">
      <c r="A98" s="3" t="n">
        <v>97</v>
      </c>
      <c r="B98" s="4" t="s">
        <v>372</v>
      </c>
      <c r="C98" s="3" t="s">
        <v>373</v>
      </c>
      <c r="D98" s="4" t="s">
        <v>183</v>
      </c>
      <c r="E98" s="3" t="s">
        <v>15</v>
      </c>
      <c r="F98" s="3" t="s">
        <v>374</v>
      </c>
      <c r="G98" s="3" t="s">
        <v>375</v>
      </c>
      <c r="H98" s="3" t="s">
        <v>15</v>
      </c>
      <c r="I98" s="4" t="s">
        <v>376</v>
      </c>
      <c r="J98" s="3" t="s">
        <v>17</v>
      </c>
    </row>
    <row r="99" customFormat="false" ht="34.5" hidden="false" customHeight="true" outlineLevel="0" collapsed="false">
      <c r="A99" s="3" t="n">
        <v>98</v>
      </c>
      <c r="B99" s="4" t="s">
        <v>377</v>
      </c>
      <c r="C99" s="3" t="s">
        <v>378</v>
      </c>
      <c r="D99" s="4" t="s">
        <v>183</v>
      </c>
      <c r="E99" s="3" t="s">
        <v>290</v>
      </c>
      <c r="F99" s="3" t="s">
        <v>15</v>
      </c>
      <c r="G99" s="3" t="s">
        <v>379</v>
      </c>
      <c r="H99" s="3" t="s">
        <v>15</v>
      </c>
      <c r="I99" s="4" t="s">
        <v>380</v>
      </c>
      <c r="J99" s="3" t="s">
        <v>17</v>
      </c>
    </row>
    <row r="100" customFormat="false" ht="57" hidden="false" customHeight="true" outlineLevel="0" collapsed="false">
      <c r="A100" s="3" t="n">
        <v>99</v>
      </c>
      <c r="B100" s="4" t="s">
        <v>381</v>
      </c>
      <c r="C100" s="3" t="s">
        <v>382</v>
      </c>
      <c r="D100" s="4" t="s">
        <v>183</v>
      </c>
      <c r="E100" s="3" t="s">
        <v>15</v>
      </c>
      <c r="F100" s="3" t="s">
        <v>15</v>
      </c>
      <c r="G100" s="3" t="s">
        <v>269</v>
      </c>
      <c r="H100" s="3" t="s">
        <v>15</v>
      </c>
      <c r="I100" s="4" t="s">
        <v>383</v>
      </c>
      <c r="J100" s="3" t="s">
        <v>17</v>
      </c>
    </row>
    <row r="101" customFormat="false" ht="34.5" hidden="false" customHeight="true" outlineLevel="0" collapsed="false">
      <c r="A101" s="3" t="n">
        <v>100</v>
      </c>
      <c r="B101" s="4" t="s">
        <v>384</v>
      </c>
      <c r="C101" s="3" t="s">
        <v>385</v>
      </c>
      <c r="D101" s="4" t="s">
        <v>183</v>
      </c>
      <c r="E101" s="3" t="s">
        <v>15</v>
      </c>
      <c r="F101" s="3" t="s">
        <v>15</v>
      </c>
      <c r="G101" s="3" t="s">
        <v>386</v>
      </c>
      <c r="H101" s="3" t="s">
        <v>15</v>
      </c>
      <c r="I101" s="4" t="s">
        <v>387</v>
      </c>
      <c r="J101" s="3" t="s">
        <v>17</v>
      </c>
    </row>
    <row r="102" customFormat="false" ht="57" hidden="false" customHeight="true" outlineLevel="0" collapsed="false">
      <c r="A102" s="3" t="n">
        <v>101</v>
      </c>
      <c r="B102" s="4" t="s">
        <v>388</v>
      </c>
      <c r="C102" s="3" t="s">
        <v>389</v>
      </c>
      <c r="D102" s="4" t="s">
        <v>183</v>
      </c>
      <c r="E102" s="3" t="s">
        <v>15</v>
      </c>
      <c r="F102" s="3" t="s">
        <v>15</v>
      </c>
      <c r="G102" s="3" t="s">
        <v>390</v>
      </c>
      <c r="H102" s="3" t="s">
        <v>15</v>
      </c>
      <c r="I102" s="4" t="s">
        <v>391</v>
      </c>
      <c r="J102" s="3" t="s">
        <v>17</v>
      </c>
    </row>
    <row r="103" customFormat="false" ht="57" hidden="false" customHeight="true" outlineLevel="0" collapsed="false">
      <c r="A103" s="3" t="n">
        <v>102</v>
      </c>
      <c r="B103" s="4" t="s">
        <v>392</v>
      </c>
      <c r="C103" s="3" t="s">
        <v>393</v>
      </c>
      <c r="D103" s="4" t="s">
        <v>183</v>
      </c>
      <c r="E103" s="3" t="s">
        <v>15</v>
      </c>
      <c r="F103" s="3" t="s">
        <v>15</v>
      </c>
      <c r="G103" s="3" t="s">
        <v>394</v>
      </c>
      <c r="H103" s="3" t="s">
        <v>15</v>
      </c>
      <c r="I103" s="4" t="s">
        <v>395</v>
      </c>
      <c r="J103" s="3" t="s">
        <v>17</v>
      </c>
    </row>
    <row r="104" customFormat="false" ht="34.5" hidden="false" customHeight="true" outlineLevel="0" collapsed="false">
      <c r="A104" s="3" t="n">
        <v>103</v>
      </c>
      <c r="B104" s="4" t="s">
        <v>396</v>
      </c>
      <c r="C104" s="3" t="s">
        <v>397</v>
      </c>
      <c r="D104" s="4" t="s">
        <v>183</v>
      </c>
      <c r="E104" s="3" t="s">
        <v>15</v>
      </c>
      <c r="F104" s="3" t="s">
        <v>15</v>
      </c>
      <c r="G104" s="3" t="s">
        <v>398</v>
      </c>
      <c r="H104" s="3" t="s">
        <v>15</v>
      </c>
      <c r="I104" s="4" t="s">
        <v>399</v>
      </c>
      <c r="J104" s="3" t="s">
        <v>17</v>
      </c>
    </row>
    <row r="105" customFormat="false" ht="45.75" hidden="false" customHeight="true" outlineLevel="0" collapsed="false">
      <c r="A105" s="3" t="n">
        <v>104</v>
      </c>
      <c r="B105" s="4" t="s">
        <v>400</v>
      </c>
      <c r="C105" s="3" t="s">
        <v>401</v>
      </c>
      <c r="D105" s="4" t="s">
        <v>183</v>
      </c>
      <c r="E105" s="3" t="s">
        <v>15</v>
      </c>
      <c r="F105" s="3" t="s">
        <v>15</v>
      </c>
      <c r="G105" s="3" t="s">
        <v>402</v>
      </c>
      <c r="H105" s="3" t="s">
        <v>15</v>
      </c>
      <c r="I105" s="4" t="s">
        <v>403</v>
      </c>
      <c r="J105" s="3" t="s">
        <v>17</v>
      </c>
    </row>
    <row r="106" customFormat="false" ht="34.5" hidden="false" customHeight="true" outlineLevel="0" collapsed="false">
      <c r="A106" s="3" t="n">
        <v>105</v>
      </c>
      <c r="B106" s="4" t="s">
        <v>404</v>
      </c>
      <c r="C106" s="3" t="s">
        <v>405</v>
      </c>
      <c r="D106" s="4" t="s">
        <v>183</v>
      </c>
      <c r="E106" s="3" t="s">
        <v>15</v>
      </c>
      <c r="F106" s="3" t="s">
        <v>15</v>
      </c>
      <c r="G106" s="3" t="s">
        <v>406</v>
      </c>
      <c r="H106" s="3" t="s">
        <v>15</v>
      </c>
      <c r="I106" s="4" t="s">
        <v>407</v>
      </c>
      <c r="J106" s="3" t="s">
        <v>17</v>
      </c>
    </row>
    <row r="107" customFormat="false" ht="34.5" hidden="false" customHeight="true" outlineLevel="0" collapsed="false">
      <c r="A107" s="3" t="n">
        <v>106</v>
      </c>
      <c r="B107" s="4" t="s">
        <v>408</v>
      </c>
      <c r="C107" s="3" t="s">
        <v>409</v>
      </c>
      <c r="D107" s="4" t="s">
        <v>183</v>
      </c>
      <c r="E107" s="3" t="s">
        <v>15</v>
      </c>
      <c r="F107" s="3" t="s">
        <v>410</v>
      </c>
      <c r="G107" s="3" t="s">
        <v>411</v>
      </c>
      <c r="H107" s="3" t="s">
        <v>15</v>
      </c>
      <c r="I107" s="4" t="s">
        <v>412</v>
      </c>
      <c r="J107" s="3" t="s">
        <v>17</v>
      </c>
    </row>
    <row r="108" customFormat="false" ht="57" hidden="false" customHeight="true" outlineLevel="0" collapsed="false">
      <c r="A108" s="3" t="n">
        <v>107</v>
      </c>
      <c r="B108" s="4" t="s">
        <v>413</v>
      </c>
      <c r="C108" s="3" t="s">
        <v>414</v>
      </c>
      <c r="D108" s="4" t="s">
        <v>183</v>
      </c>
      <c r="E108" s="3" t="s">
        <v>15</v>
      </c>
      <c r="F108" s="3" t="s">
        <v>415</v>
      </c>
      <c r="G108" s="3" t="s">
        <v>416</v>
      </c>
      <c r="H108" s="3" t="s">
        <v>15</v>
      </c>
      <c r="I108" s="4" t="s">
        <v>417</v>
      </c>
      <c r="J108" s="3" t="s">
        <v>17</v>
      </c>
    </row>
    <row r="109" customFormat="false" ht="57" hidden="false" customHeight="true" outlineLevel="0" collapsed="false">
      <c r="A109" s="3" t="n">
        <v>108</v>
      </c>
      <c r="B109" s="4" t="s">
        <v>418</v>
      </c>
      <c r="C109" s="3" t="s">
        <v>419</v>
      </c>
      <c r="D109" s="4" t="s">
        <v>183</v>
      </c>
      <c r="E109" s="3" t="s">
        <v>15</v>
      </c>
      <c r="F109" s="3" t="s">
        <v>15</v>
      </c>
      <c r="G109" s="3" t="s">
        <v>420</v>
      </c>
      <c r="H109" s="3" t="s">
        <v>15</v>
      </c>
      <c r="I109" s="4" t="s">
        <v>421</v>
      </c>
      <c r="J109" s="3" t="s">
        <v>17</v>
      </c>
    </row>
    <row r="110" customFormat="false" ht="45.75" hidden="false" customHeight="true" outlineLevel="0" collapsed="false">
      <c r="A110" s="3" t="n">
        <v>109</v>
      </c>
      <c r="B110" s="4" t="s">
        <v>422</v>
      </c>
      <c r="C110" s="3" t="s">
        <v>423</v>
      </c>
      <c r="D110" s="4" t="s">
        <v>183</v>
      </c>
      <c r="E110" s="3" t="s">
        <v>290</v>
      </c>
      <c r="F110" s="3" t="s">
        <v>15</v>
      </c>
      <c r="G110" s="3" t="s">
        <v>328</v>
      </c>
      <c r="H110" s="3" t="s">
        <v>15</v>
      </c>
      <c r="I110" s="4" t="s">
        <v>329</v>
      </c>
      <c r="J110" s="3" t="s">
        <v>17</v>
      </c>
    </row>
    <row r="111" customFormat="false" ht="57" hidden="false" customHeight="true" outlineLevel="0" collapsed="false">
      <c r="A111" s="3" t="n">
        <v>110</v>
      </c>
      <c r="B111" s="4" t="s">
        <v>424</v>
      </c>
      <c r="C111" s="3" t="s">
        <v>425</v>
      </c>
      <c r="D111" s="4" t="s">
        <v>183</v>
      </c>
      <c r="E111" s="3" t="s">
        <v>15</v>
      </c>
      <c r="F111" s="3" t="s">
        <v>426</v>
      </c>
      <c r="G111" s="3" t="s">
        <v>427</v>
      </c>
      <c r="H111" s="3" t="s">
        <v>15</v>
      </c>
      <c r="I111" s="4" t="s">
        <v>428</v>
      </c>
      <c r="J111" s="3" t="s">
        <v>17</v>
      </c>
    </row>
    <row r="112" customFormat="false" ht="45.75" hidden="false" customHeight="true" outlineLevel="0" collapsed="false">
      <c r="A112" s="3" t="n">
        <v>111</v>
      </c>
      <c r="B112" s="4" t="s">
        <v>429</v>
      </c>
      <c r="C112" s="3" t="s">
        <v>430</v>
      </c>
      <c r="D112" s="4" t="s">
        <v>183</v>
      </c>
      <c r="E112" s="3" t="s">
        <v>15</v>
      </c>
      <c r="F112" s="3" t="s">
        <v>15</v>
      </c>
      <c r="G112" s="3" t="s">
        <v>431</v>
      </c>
      <c r="H112" s="3" t="s">
        <v>15</v>
      </c>
      <c r="I112" s="4" t="s">
        <v>432</v>
      </c>
      <c r="J112" s="3" t="s">
        <v>17</v>
      </c>
    </row>
    <row r="113" customFormat="false" ht="45.75" hidden="false" customHeight="true" outlineLevel="0" collapsed="false">
      <c r="A113" s="3" t="n">
        <v>112</v>
      </c>
      <c r="B113" s="4" t="s">
        <v>433</v>
      </c>
      <c r="C113" s="3" t="s">
        <v>434</v>
      </c>
      <c r="D113" s="4" t="s">
        <v>183</v>
      </c>
      <c r="E113" s="3" t="s">
        <v>15</v>
      </c>
      <c r="F113" s="3" t="s">
        <v>15</v>
      </c>
      <c r="G113" s="3" t="s">
        <v>435</v>
      </c>
      <c r="H113" s="3" t="s">
        <v>15</v>
      </c>
      <c r="I113" s="4" t="s">
        <v>436</v>
      </c>
      <c r="J113" s="3" t="s">
        <v>17</v>
      </c>
    </row>
    <row r="114" customFormat="false" ht="45.75" hidden="false" customHeight="true" outlineLevel="0" collapsed="false">
      <c r="A114" s="3" t="n">
        <v>113</v>
      </c>
      <c r="B114" s="4" t="s">
        <v>437</v>
      </c>
      <c r="C114" s="3" t="s">
        <v>438</v>
      </c>
      <c r="D114" s="4" t="s">
        <v>183</v>
      </c>
      <c r="E114" s="3" t="s">
        <v>15</v>
      </c>
      <c r="F114" s="3" t="s">
        <v>15</v>
      </c>
      <c r="G114" s="3" t="s">
        <v>439</v>
      </c>
      <c r="H114" s="3" t="s">
        <v>15</v>
      </c>
      <c r="I114" s="4" t="s">
        <v>440</v>
      </c>
      <c r="J114" s="3" t="s">
        <v>17</v>
      </c>
    </row>
    <row r="115" customFormat="false" ht="57" hidden="false" customHeight="true" outlineLevel="0" collapsed="false">
      <c r="A115" s="3" t="n">
        <v>114</v>
      </c>
      <c r="B115" s="4" t="s">
        <v>441</v>
      </c>
      <c r="C115" s="3" t="s">
        <v>442</v>
      </c>
      <c r="D115" s="4" t="s">
        <v>183</v>
      </c>
      <c r="E115" s="3" t="s">
        <v>15</v>
      </c>
      <c r="F115" s="3" t="s">
        <v>15</v>
      </c>
      <c r="G115" s="3" t="s">
        <v>443</v>
      </c>
      <c r="H115" s="3" t="s">
        <v>15</v>
      </c>
      <c r="I115" s="4" t="s">
        <v>444</v>
      </c>
      <c r="J115" s="3" t="s">
        <v>17</v>
      </c>
    </row>
    <row r="116" customFormat="false" ht="45.75" hidden="false" customHeight="true" outlineLevel="0" collapsed="false">
      <c r="A116" s="3" t="n">
        <v>115</v>
      </c>
      <c r="B116" s="4" t="s">
        <v>445</v>
      </c>
      <c r="C116" s="3" t="s">
        <v>446</v>
      </c>
      <c r="D116" s="4" t="s">
        <v>183</v>
      </c>
      <c r="E116" s="3" t="s">
        <v>290</v>
      </c>
      <c r="F116" s="3" t="s">
        <v>447</v>
      </c>
      <c r="G116" s="3" t="s">
        <v>448</v>
      </c>
      <c r="H116" s="3" t="s">
        <v>15</v>
      </c>
      <c r="I116" s="4" t="s">
        <v>449</v>
      </c>
      <c r="J116" s="3" t="s">
        <v>17</v>
      </c>
    </row>
    <row r="117" customFormat="false" ht="45.75" hidden="false" customHeight="true" outlineLevel="0" collapsed="false">
      <c r="A117" s="3" t="n">
        <v>116</v>
      </c>
      <c r="B117" s="4" t="s">
        <v>450</v>
      </c>
      <c r="C117" s="3" t="s">
        <v>451</v>
      </c>
      <c r="D117" s="4" t="s">
        <v>183</v>
      </c>
      <c r="E117" s="3" t="s">
        <v>290</v>
      </c>
      <c r="F117" s="3" t="s">
        <v>15</v>
      </c>
      <c r="G117" s="3" t="s">
        <v>452</v>
      </c>
      <c r="H117" s="3" t="s">
        <v>15</v>
      </c>
      <c r="I117" s="4" t="s">
        <v>453</v>
      </c>
      <c r="J117" s="3" t="s">
        <v>17</v>
      </c>
    </row>
    <row r="118" customFormat="false" ht="45.75" hidden="false" customHeight="true" outlineLevel="0" collapsed="false">
      <c r="A118" s="3" t="n">
        <v>117</v>
      </c>
      <c r="B118" s="4" t="s">
        <v>454</v>
      </c>
      <c r="C118" s="3" t="s">
        <v>455</v>
      </c>
      <c r="D118" s="4" t="s">
        <v>183</v>
      </c>
      <c r="E118" s="3" t="s">
        <v>15</v>
      </c>
      <c r="F118" s="3" t="s">
        <v>15</v>
      </c>
      <c r="G118" s="3" t="s">
        <v>456</v>
      </c>
      <c r="H118" s="3" t="s">
        <v>15</v>
      </c>
      <c r="I118" s="4" t="s">
        <v>403</v>
      </c>
      <c r="J118" s="3" t="s">
        <v>17</v>
      </c>
    </row>
    <row r="119" customFormat="false" ht="68.25" hidden="false" customHeight="true" outlineLevel="0" collapsed="false">
      <c r="A119" s="3" t="n">
        <v>118</v>
      </c>
      <c r="B119" s="4" t="s">
        <v>457</v>
      </c>
      <c r="C119" s="3" t="s">
        <v>458</v>
      </c>
      <c r="D119" s="4" t="s">
        <v>183</v>
      </c>
      <c r="E119" s="3" t="s">
        <v>459</v>
      </c>
      <c r="F119" s="3" t="s">
        <v>460</v>
      </c>
      <c r="G119" s="3" t="s">
        <v>461</v>
      </c>
      <c r="H119" s="3" t="s">
        <v>15</v>
      </c>
      <c r="I119" s="4" t="s">
        <v>462</v>
      </c>
      <c r="J119" s="3" t="s">
        <v>17</v>
      </c>
    </row>
    <row r="120" customFormat="false" ht="57" hidden="false" customHeight="true" outlineLevel="0" collapsed="false">
      <c r="A120" s="3" t="n">
        <v>119</v>
      </c>
      <c r="B120" s="4" t="s">
        <v>463</v>
      </c>
      <c r="C120" s="3" t="s">
        <v>464</v>
      </c>
      <c r="D120" s="4" t="s">
        <v>183</v>
      </c>
      <c r="E120" s="3" t="s">
        <v>15</v>
      </c>
      <c r="F120" s="3" t="s">
        <v>15</v>
      </c>
      <c r="G120" s="3" t="s">
        <v>465</v>
      </c>
      <c r="H120" s="3" t="s">
        <v>15</v>
      </c>
      <c r="I120" s="4" t="s">
        <v>466</v>
      </c>
      <c r="J120" s="3" t="s">
        <v>17</v>
      </c>
    </row>
    <row r="121" customFormat="false" ht="57" hidden="false" customHeight="true" outlineLevel="0" collapsed="false">
      <c r="A121" s="3" t="n">
        <v>120</v>
      </c>
      <c r="B121" s="4" t="s">
        <v>467</v>
      </c>
      <c r="C121" s="3" t="s">
        <v>468</v>
      </c>
      <c r="D121" s="4" t="s">
        <v>183</v>
      </c>
      <c r="E121" s="3" t="s">
        <v>290</v>
      </c>
      <c r="F121" s="3" t="s">
        <v>15</v>
      </c>
      <c r="G121" s="3" t="s">
        <v>469</v>
      </c>
      <c r="H121" s="3" t="s">
        <v>15</v>
      </c>
      <c r="I121" s="4" t="s">
        <v>470</v>
      </c>
      <c r="J121" s="3" t="s">
        <v>17</v>
      </c>
    </row>
    <row r="122" customFormat="false" ht="45.75" hidden="false" customHeight="true" outlineLevel="0" collapsed="false">
      <c r="A122" s="3" t="n">
        <v>121</v>
      </c>
      <c r="B122" s="4" t="s">
        <v>471</v>
      </c>
      <c r="C122" s="3" t="s">
        <v>472</v>
      </c>
      <c r="D122" s="4" t="s">
        <v>183</v>
      </c>
      <c r="E122" s="3" t="s">
        <v>15</v>
      </c>
      <c r="F122" s="3" t="s">
        <v>473</v>
      </c>
      <c r="G122" s="3" t="s">
        <v>411</v>
      </c>
      <c r="H122" s="3" t="s">
        <v>15</v>
      </c>
      <c r="I122" s="4" t="s">
        <v>474</v>
      </c>
      <c r="J122" s="3" t="s">
        <v>17</v>
      </c>
    </row>
    <row r="123" customFormat="false" ht="45.75" hidden="false" customHeight="true" outlineLevel="0" collapsed="false">
      <c r="A123" s="3" t="n">
        <v>122</v>
      </c>
      <c r="B123" s="4" t="s">
        <v>475</v>
      </c>
      <c r="C123" s="3" t="s">
        <v>476</v>
      </c>
      <c r="D123" s="4" t="s">
        <v>183</v>
      </c>
      <c r="E123" s="3" t="s">
        <v>290</v>
      </c>
      <c r="F123" s="3" t="s">
        <v>15</v>
      </c>
      <c r="G123" s="3" t="s">
        <v>477</v>
      </c>
      <c r="H123" s="3" t="s">
        <v>15</v>
      </c>
      <c r="I123" s="4" t="s">
        <v>478</v>
      </c>
      <c r="J123" s="3" t="s">
        <v>17</v>
      </c>
    </row>
    <row r="124" customFormat="false" ht="57" hidden="false" customHeight="true" outlineLevel="0" collapsed="false">
      <c r="A124" s="3" t="n">
        <v>123</v>
      </c>
      <c r="B124" s="4" t="s">
        <v>479</v>
      </c>
      <c r="C124" s="3" t="s">
        <v>480</v>
      </c>
      <c r="D124" s="4" t="s">
        <v>183</v>
      </c>
      <c r="E124" s="3" t="s">
        <v>15</v>
      </c>
      <c r="F124" s="3" t="s">
        <v>15</v>
      </c>
      <c r="G124" s="3" t="s">
        <v>481</v>
      </c>
      <c r="H124" s="3" t="s">
        <v>15</v>
      </c>
      <c r="I124" s="4" t="s">
        <v>482</v>
      </c>
      <c r="J124" s="3" t="s">
        <v>17</v>
      </c>
    </row>
    <row r="125" customFormat="false" ht="45.75" hidden="false" customHeight="true" outlineLevel="0" collapsed="false">
      <c r="A125" s="3" t="n">
        <v>124</v>
      </c>
      <c r="B125" s="4" t="s">
        <v>483</v>
      </c>
      <c r="C125" s="3" t="s">
        <v>484</v>
      </c>
      <c r="D125" s="4" t="s">
        <v>183</v>
      </c>
      <c r="E125" s="3" t="s">
        <v>290</v>
      </c>
      <c r="F125" s="3" t="s">
        <v>15</v>
      </c>
      <c r="G125" s="3" t="s">
        <v>328</v>
      </c>
      <c r="H125" s="3" t="s">
        <v>15</v>
      </c>
      <c r="I125" s="4" t="s">
        <v>329</v>
      </c>
      <c r="J125" s="3" t="s">
        <v>17</v>
      </c>
    </row>
    <row r="126" customFormat="false" ht="45.75" hidden="false" customHeight="true" outlineLevel="0" collapsed="false">
      <c r="A126" s="3" t="n">
        <v>125</v>
      </c>
      <c r="B126" s="4" t="s">
        <v>485</v>
      </c>
      <c r="C126" s="3" t="s">
        <v>486</v>
      </c>
      <c r="D126" s="4" t="s">
        <v>487</v>
      </c>
      <c r="E126" s="3" t="s">
        <v>15</v>
      </c>
      <c r="F126" s="3" t="s">
        <v>15</v>
      </c>
      <c r="G126" s="3" t="s">
        <v>488</v>
      </c>
      <c r="H126" s="3" t="s">
        <v>15</v>
      </c>
      <c r="I126" s="4" t="s">
        <v>489</v>
      </c>
      <c r="J126" s="3" t="s">
        <v>17</v>
      </c>
    </row>
    <row r="127" customFormat="false" ht="34.5" hidden="false" customHeight="true" outlineLevel="0" collapsed="false">
      <c r="A127" s="3" t="n">
        <v>126</v>
      </c>
      <c r="B127" s="4" t="s">
        <v>490</v>
      </c>
      <c r="C127" s="3" t="s">
        <v>491</v>
      </c>
      <c r="D127" s="4" t="s">
        <v>487</v>
      </c>
      <c r="E127" s="3" t="s">
        <v>492</v>
      </c>
      <c r="F127" s="3" t="s">
        <v>493</v>
      </c>
      <c r="G127" s="3" t="s">
        <v>15</v>
      </c>
      <c r="H127" s="3" t="s">
        <v>15</v>
      </c>
      <c r="I127" s="4" t="s">
        <v>494</v>
      </c>
      <c r="J127" s="3" t="s">
        <v>17</v>
      </c>
    </row>
    <row r="128" customFormat="false" ht="34.5" hidden="false" customHeight="true" outlineLevel="0" collapsed="false">
      <c r="A128" s="3" t="n">
        <v>127</v>
      </c>
      <c r="B128" s="4" t="s">
        <v>495</v>
      </c>
      <c r="C128" s="3" t="s">
        <v>496</v>
      </c>
      <c r="D128" s="4" t="s">
        <v>487</v>
      </c>
      <c r="E128" s="3" t="s">
        <v>15</v>
      </c>
      <c r="F128" s="3" t="s">
        <v>497</v>
      </c>
      <c r="G128" s="3" t="s">
        <v>498</v>
      </c>
      <c r="H128" s="3" t="s">
        <v>15</v>
      </c>
      <c r="I128" s="4" t="s">
        <v>499</v>
      </c>
      <c r="J128" s="3" t="s">
        <v>17</v>
      </c>
    </row>
    <row r="129" customFormat="false" ht="34.5" hidden="false" customHeight="true" outlineLevel="0" collapsed="false">
      <c r="A129" s="3" t="n">
        <v>128</v>
      </c>
      <c r="B129" s="4" t="s">
        <v>500</v>
      </c>
      <c r="C129" s="3" t="s">
        <v>501</v>
      </c>
      <c r="D129" s="4" t="s">
        <v>487</v>
      </c>
      <c r="E129" s="3" t="s">
        <v>15</v>
      </c>
      <c r="F129" s="3" t="s">
        <v>15</v>
      </c>
      <c r="G129" s="3" t="s">
        <v>502</v>
      </c>
      <c r="H129" s="3" t="s">
        <v>15</v>
      </c>
      <c r="I129" s="4" t="s">
        <v>503</v>
      </c>
      <c r="J129" s="3" t="s">
        <v>17</v>
      </c>
    </row>
    <row r="130" customFormat="false" ht="57" hidden="false" customHeight="true" outlineLevel="0" collapsed="false">
      <c r="A130" s="3" t="n">
        <v>129</v>
      </c>
      <c r="B130" s="4" t="s">
        <v>504</v>
      </c>
      <c r="C130" s="3" t="s">
        <v>505</v>
      </c>
      <c r="D130" s="4" t="s">
        <v>487</v>
      </c>
      <c r="E130" s="3" t="s">
        <v>506</v>
      </c>
      <c r="F130" s="3" t="s">
        <v>15</v>
      </c>
      <c r="G130" s="3" t="s">
        <v>507</v>
      </c>
      <c r="H130" s="3" t="s">
        <v>15</v>
      </c>
      <c r="I130" s="4" t="s">
        <v>508</v>
      </c>
      <c r="J130" s="3" t="s">
        <v>17</v>
      </c>
    </row>
    <row r="131" customFormat="false" ht="34.5" hidden="false" customHeight="true" outlineLevel="0" collapsed="false">
      <c r="A131" s="5" t="n">
        <v>130</v>
      </c>
      <c r="B131" s="6" t="s">
        <v>509</v>
      </c>
      <c r="C131" s="5" t="s">
        <v>510</v>
      </c>
      <c r="D131" s="6" t="s">
        <v>25</v>
      </c>
      <c r="E131" s="5" t="s">
        <v>511</v>
      </c>
      <c r="F131" s="5" t="s">
        <v>15</v>
      </c>
      <c r="G131" s="5" t="s">
        <v>512</v>
      </c>
      <c r="H131" s="5" t="s">
        <v>15</v>
      </c>
      <c r="I131" s="6" t="s">
        <v>513</v>
      </c>
      <c r="J131" s="5" t="s">
        <v>514</v>
      </c>
    </row>
    <row r="132" customFormat="false" ht="45.75" hidden="false" customHeight="true" outlineLevel="0" collapsed="false">
      <c r="A132" s="5" t="n">
        <v>131</v>
      </c>
      <c r="B132" s="6" t="s">
        <v>515</v>
      </c>
      <c r="C132" s="5" t="s">
        <v>516</v>
      </c>
      <c r="D132" s="6" t="s">
        <v>25</v>
      </c>
      <c r="E132" s="5" t="s">
        <v>517</v>
      </c>
      <c r="F132" s="5" t="s">
        <v>15</v>
      </c>
      <c r="G132" s="5" t="s">
        <v>518</v>
      </c>
      <c r="H132" s="5" t="s">
        <v>15</v>
      </c>
      <c r="I132" s="6" t="s">
        <v>519</v>
      </c>
      <c r="J132" s="5" t="s">
        <v>514</v>
      </c>
    </row>
    <row r="133" customFormat="false" ht="45.75" hidden="false" customHeight="true" outlineLevel="0" collapsed="false">
      <c r="A133" s="5" t="n">
        <v>132</v>
      </c>
      <c r="B133" s="6" t="s">
        <v>520</v>
      </c>
      <c r="C133" s="5" t="s">
        <v>521</v>
      </c>
      <c r="D133" s="6" t="s">
        <v>25</v>
      </c>
      <c r="E133" s="5" t="s">
        <v>20</v>
      </c>
      <c r="F133" s="5" t="s">
        <v>15</v>
      </c>
      <c r="G133" s="5" t="s">
        <v>522</v>
      </c>
      <c r="H133" s="5" t="s">
        <v>15</v>
      </c>
      <c r="I133" s="6" t="s">
        <v>523</v>
      </c>
      <c r="J133" s="5" t="s">
        <v>514</v>
      </c>
    </row>
    <row r="134" customFormat="false" ht="34.5" hidden="false" customHeight="true" outlineLevel="0" collapsed="false">
      <c r="A134" s="5" t="n">
        <v>133</v>
      </c>
      <c r="B134" s="6" t="s">
        <v>524</v>
      </c>
      <c r="C134" s="5" t="s">
        <v>525</v>
      </c>
      <c r="D134" s="6" t="s">
        <v>25</v>
      </c>
      <c r="E134" s="5" t="s">
        <v>517</v>
      </c>
      <c r="F134" s="5" t="s">
        <v>15</v>
      </c>
      <c r="G134" s="5" t="s">
        <v>526</v>
      </c>
      <c r="H134" s="5" t="s">
        <v>15</v>
      </c>
      <c r="I134" s="6" t="s">
        <v>527</v>
      </c>
      <c r="J134" s="5" t="s">
        <v>514</v>
      </c>
    </row>
    <row r="135" customFormat="false" ht="23.25" hidden="false" customHeight="true" outlineLevel="0" collapsed="false">
      <c r="A135" s="5" t="n">
        <v>134</v>
      </c>
      <c r="B135" s="6" t="s">
        <v>528</v>
      </c>
      <c r="C135" s="5" t="s">
        <v>529</v>
      </c>
      <c r="D135" s="6" t="s">
        <v>25</v>
      </c>
      <c r="E135" s="5" t="s">
        <v>517</v>
      </c>
      <c r="F135" s="5" t="s">
        <v>15</v>
      </c>
      <c r="G135" s="5" t="s">
        <v>530</v>
      </c>
      <c r="H135" s="5" t="s">
        <v>15</v>
      </c>
      <c r="I135" s="6" t="s">
        <v>531</v>
      </c>
      <c r="J135" s="5" t="s">
        <v>514</v>
      </c>
    </row>
    <row r="136" customFormat="false" ht="23.25" hidden="false" customHeight="true" outlineLevel="0" collapsed="false">
      <c r="A136" s="5" t="n">
        <v>135</v>
      </c>
      <c r="B136" s="6" t="s">
        <v>532</v>
      </c>
      <c r="C136" s="5" t="s">
        <v>533</v>
      </c>
      <c r="D136" s="6" t="s">
        <v>25</v>
      </c>
      <c r="E136" s="5" t="s">
        <v>534</v>
      </c>
      <c r="F136" s="5" t="s">
        <v>15</v>
      </c>
      <c r="G136" s="5" t="s">
        <v>535</v>
      </c>
      <c r="H136" s="5" t="s">
        <v>15</v>
      </c>
      <c r="I136" s="6" t="s">
        <v>536</v>
      </c>
      <c r="J136" s="5" t="s">
        <v>514</v>
      </c>
    </row>
    <row r="137" customFormat="false" ht="23.25" hidden="false" customHeight="true" outlineLevel="0" collapsed="false">
      <c r="A137" s="5" t="n">
        <v>136</v>
      </c>
      <c r="B137" s="6" t="s">
        <v>537</v>
      </c>
      <c r="C137" s="5" t="s">
        <v>538</v>
      </c>
      <c r="D137" s="6" t="s">
        <v>25</v>
      </c>
      <c r="E137" s="5" t="s">
        <v>517</v>
      </c>
      <c r="F137" s="5" t="s">
        <v>15</v>
      </c>
      <c r="G137" s="5" t="s">
        <v>539</v>
      </c>
      <c r="H137" s="5" t="s">
        <v>15</v>
      </c>
      <c r="I137" s="6" t="s">
        <v>540</v>
      </c>
      <c r="J137" s="5" t="s">
        <v>514</v>
      </c>
    </row>
    <row r="138" customFormat="false" ht="23.25" hidden="false" customHeight="true" outlineLevel="0" collapsed="false">
      <c r="A138" s="5" t="n">
        <v>137</v>
      </c>
      <c r="B138" s="6" t="s">
        <v>541</v>
      </c>
      <c r="C138" s="5" t="s">
        <v>542</v>
      </c>
      <c r="D138" s="6" t="s">
        <v>25</v>
      </c>
      <c r="E138" s="5" t="s">
        <v>517</v>
      </c>
      <c r="F138" s="5" t="s">
        <v>15</v>
      </c>
      <c r="G138" s="5" t="s">
        <v>543</v>
      </c>
      <c r="H138" s="5" t="s">
        <v>15</v>
      </c>
      <c r="I138" s="6" t="s">
        <v>544</v>
      </c>
      <c r="J138" s="5" t="s">
        <v>514</v>
      </c>
    </row>
    <row r="139" customFormat="false" ht="23.25" hidden="false" customHeight="true" outlineLevel="0" collapsed="false">
      <c r="A139" s="5" t="n">
        <v>138</v>
      </c>
      <c r="B139" s="6" t="s">
        <v>545</v>
      </c>
      <c r="C139" s="5" t="s">
        <v>546</v>
      </c>
      <c r="D139" s="6" t="s">
        <v>25</v>
      </c>
      <c r="E139" s="5" t="s">
        <v>517</v>
      </c>
      <c r="F139" s="5" t="s">
        <v>15</v>
      </c>
      <c r="G139" s="5" t="s">
        <v>530</v>
      </c>
      <c r="H139" s="5" t="s">
        <v>15</v>
      </c>
      <c r="I139" s="6" t="s">
        <v>531</v>
      </c>
      <c r="J139" s="5" t="s">
        <v>514</v>
      </c>
    </row>
    <row r="140" customFormat="false" ht="23.25" hidden="false" customHeight="true" outlineLevel="0" collapsed="false">
      <c r="A140" s="5" t="n">
        <v>139</v>
      </c>
      <c r="B140" s="6" t="s">
        <v>547</v>
      </c>
      <c r="C140" s="5" t="s">
        <v>548</v>
      </c>
      <c r="D140" s="6" t="s">
        <v>25</v>
      </c>
      <c r="E140" s="5" t="s">
        <v>517</v>
      </c>
      <c r="F140" s="5" t="s">
        <v>15</v>
      </c>
      <c r="G140" s="5" t="s">
        <v>549</v>
      </c>
      <c r="H140" s="5" t="s">
        <v>15</v>
      </c>
      <c r="I140" s="6" t="s">
        <v>550</v>
      </c>
      <c r="J140" s="5" t="s">
        <v>514</v>
      </c>
    </row>
    <row r="141" customFormat="false" ht="45.75" hidden="false" customHeight="true" outlineLevel="0" collapsed="false">
      <c r="A141" s="5" t="n">
        <v>140</v>
      </c>
      <c r="B141" s="6" t="s">
        <v>551</v>
      </c>
      <c r="C141" s="5" t="s">
        <v>552</v>
      </c>
      <c r="D141" s="6" t="s">
        <v>25</v>
      </c>
      <c r="E141" s="5" t="s">
        <v>534</v>
      </c>
      <c r="F141" s="5" t="s">
        <v>15</v>
      </c>
      <c r="G141" s="5" t="s">
        <v>553</v>
      </c>
      <c r="H141" s="5" t="s">
        <v>15</v>
      </c>
      <c r="I141" s="6" t="s">
        <v>554</v>
      </c>
      <c r="J141" s="5" t="s">
        <v>514</v>
      </c>
    </row>
    <row r="142" customFormat="false" ht="34.5" hidden="false" customHeight="true" outlineLevel="0" collapsed="false">
      <c r="A142" s="5" t="n">
        <v>141</v>
      </c>
      <c r="B142" s="6" t="s">
        <v>555</v>
      </c>
      <c r="C142" s="5" t="s">
        <v>556</v>
      </c>
      <c r="D142" s="6" t="s">
        <v>25</v>
      </c>
      <c r="E142" s="5" t="s">
        <v>517</v>
      </c>
      <c r="F142" s="5" t="s">
        <v>15</v>
      </c>
      <c r="G142" s="5" t="s">
        <v>557</v>
      </c>
      <c r="H142" s="5" t="s">
        <v>15</v>
      </c>
      <c r="I142" s="6" t="s">
        <v>558</v>
      </c>
      <c r="J142" s="5" t="s">
        <v>514</v>
      </c>
    </row>
    <row r="143" customFormat="false" ht="34.5" hidden="false" customHeight="true" outlineLevel="0" collapsed="false">
      <c r="A143" s="5" t="n">
        <v>142</v>
      </c>
      <c r="B143" s="6" t="s">
        <v>559</v>
      </c>
      <c r="C143" s="5" t="s">
        <v>560</v>
      </c>
      <c r="D143" s="6" t="s">
        <v>25</v>
      </c>
      <c r="E143" s="5" t="s">
        <v>517</v>
      </c>
      <c r="F143" s="5" t="s">
        <v>15</v>
      </c>
      <c r="G143" s="5" t="s">
        <v>526</v>
      </c>
      <c r="H143" s="5" t="s">
        <v>15</v>
      </c>
      <c r="I143" s="6" t="s">
        <v>527</v>
      </c>
      <c r="J143" s="5" t="s">
        <v>514</v>
      </c>
    </row>
    <row r="144" customFormat="false" ht="57" hidden="false" customHeight="true" outlineLevel="0" collapsed="false">
      <c r="A144" s="5" t="n">
        <v>143</v>
      </c>
      <c r="B144" s="6" t="s">
        <v>561</v>
      </c>
      <c r="C144" s="5" t="s">
        <v>562</v>
      </c>
      <c r="D144" s="6" t="s">
        <v>25</v>
      </c>
      <c r="E144" s="5" t="s">
        <v>534</v>
      </c>
      <c r="F144" s="5" t="s">
        <v>15</v>
      </c>
      <c r="G144" s="5" t="s">
        <v>563</v>
      </c>
      <c r="H144" s="5" t="s">
        <v>15</v>
      </c>
      <c r="I144" s="6" t="s">
        <v>564</v>
      </c>
      <c r="J144" s="5" t="s">
        <v>514</v>
      </c>
    </row>
    <row r="145" customFormat="false" ht="34.5" hidden="false" customHeight="true" outlineLevel="0" collapsed="false">
      <c r="A145" s="5" t="n">
        <v>144</v>
      </c>
      <c r="B145" s="6" t="s">
        <v>565</v>
      </c>
      <c r="C145" s="5" t="s">
        <v>566</v>
      </c>
      <c r="D145" s="6" t="s">
        <v>25</v>
      </c>
      <c r="E145" s="5" t="s">
        <v>517</v>
      </c>
      <c r="F145" s="5" t="s">
        <v>15</v>
      </c>
      <c r="G145" s="5" t="s">
        <v>567</v>
      </c>
      <c r="H145" s="5" t="s">
        <v>15</v>
      </c>
      <c r="I145" s="6" t="s">
        <v>568</v>
      </c>
      <c r="J145" s="5" t="s">
        <v>514</v>
      </c>
    </row>
    <row r="146" customFormat="false" ht="45.75" hidden="false" customHeight="true" outlineLevel="0" collapsed="false">
      <c r="A146" s="5" t="n">
        <v>145</v>
      </c>
      <c r="B146" s="6" t="s">
        <v>569</v>
      </c>
      <c r="C146" s="5" t="s">
        <v>570</v>
      </c>
      <c r="D146" s="6" t="s">
        <v>25</v>
      </c>
      <c r="E146" s="5" t="s">
        <v>534</v>
      </c>
      <c r="F146" s="5" t="s">
        <v>15</v>
      </c>
      <c r="G146" s="5" t="s">
        <v>571</v>
      </c>
      <c r="H146" s="5" t="s">
        <v>15</v>
      </c>
      <c r="I146" s="6" t="s">
        <v>572</v>
      </c>
      <c r="J146" s="5" t="s">
        <v>514</v>
      </c>
    </row>
    <row r="147" customFormat="false" ht="34.5" hidden="false" customHeight="true" outlineLevel="0" collapsed="false">
      <c r="A147" s="5" t="n">
        <v>146</v>
      </c>
      <c r="B147" s="6" t="s">
        <v>573</v>
      </c>
      <c r="C147" s="5" t="s">
        <v>574</v>
      </c>
      <c r="D147" s="6" t="s">
        <v>25</v>
      </c>
      <c r="E147" s="5" t="s">
        <v>517</v>
      </c>
      <c r="F147" s="5" t="s">
        <v>15</v>
      </c>
      <c r="G147" s="5" t="s">
        <v>575</v>
      </c>
      <c r="H147" s="5" t="s">
        <v>15</v>
      </c>
      <c r="I147" s="6" t="s">
        <v>576</v>
      </c>
      <c r="J147" s="5" t="s">
        <v>514</v>
      </c>
    </row>
    <row r="148" customFormat="false" ht="23.25" hidden="false" customHeight="true" outlineLevel="0" collapsed="false">
      <c r="A148" s="5" t="n">
        <v>147</v>
      </c>
      <c r="B148" s="6" t="s">
        <v>577</v>
      </c>
      <c r="C148" s="5" t="s">
        <v>578</v>
      </c>
      <c r="D148" s="6" t="s">
        <v>25</v>
      </c>
      <c r="E148" s="5" t="s">
        <v>534</v>
      </c>
      <c r="F148" s="5" t="s">
        <v>15</v>
      </c>
      <c r="G148" s="5" t="s">
        <v>535</v>
      </c>
      <c r="H148" s="5" t="s">
        <v>15</v>
      </c>
      <c r="I148" s="6" t="s">
        <v>536</v>
      </c>
      <c r="J148" s="5" t="s">
        <v>514</v>
      </c>
    </row>
    <row r="149" customFormat="false" ht="45.75" hidden="false" customHeight="true" outlineLevel="0" collapsed="false">
      <c r="A149" s="5" t="n">
        <v>148</v>
      </c>
      <c r="B149" s="6" t="s">
        <v>579</v>
      </c>
      <c r="C149" s="5" t="s">
        <v>580</v>
      </c>
      <c r="D149" s="6" t="s">
        <v>25</v>
      </c>
      <c r="E149" s="5" t="s">
        <v>517</v>
      </c>
      <c r="F149" s="5" t="s">
        <v>581</v>
      </c>
      <c r="G149" s="5" t="s">
        <v>582</v>
      </c>
      <c r="H149" s="5" t="s">
        <v>15</v>
      </c>
      <c r="I149" s="6" t="s">
        <v>583</v>
      </c>
      <c r="J149" s="5" t="s">
        <v>514</v>
      </c>
    </row>
    <row r="150" customFormat="false" ht="23.25" hidden="false" customHeight="true" outlineLevel="0" collapsed="false">
      <c r="A150" s="5" t="n">
        <v>149</v>
      </c>
      <c r="B150" s="6" t="s">
        <v>584</v>
      </c>
      <c r="C150" s="5" t="s">
        <v>585</v>
      </c>
      <c r="D150" s="6" t="s">
        <v>25</v>
      </c>
      <c r="E150" s="5" t="s">
        <v>517</v>
      </c>
      <c r="F150" s="5" t="s">
        <v>15</v>
      </c>
      <c r="G150" s="5" t="s">
        <v>586</v>
      </c>
      <c r="H150" s="5" t="s">
        <v>15</v>
      </c>
      <c r="I150" s="6" t="s">
        <v>587</v>
      </c>
      <c r="J150" s="5" t="s">
        <v>514</v>
      </c>
    </row>
    <row r="151" customFormat="false" ht="34.5" hidden="false" customHeight="true" outlineLevel="0" collapsed="false">
      <c r="A151" s="5" t="n">
        <v>150</v>
      </c>
      <c r="B151" s="6" t="s">
        <v>588</v>
      </c>
      <c r="C151" s="5" t="s">
        <v>589</v>
      </c>
      <c r="D151" s="6" t="s">
        <v>25</v>
      </c>
      <c r="E151" s="5" t="s">
        <v>590</v>
      </c>
      <c r="F151" s="5" t="s">
        <v>15</v>
      </c>
      <c r="G151" s="5" t="s">
        <v>591</v>
      </c>
      <c r="H151" s="5" t="s">
        <v>15</v>
      </c>
      <c r="I151" s="6" t="s">
        <v>592</v>
      </c>
      <c r="J151" s="5" t="s">
        <v>514</v>
      </c>
    </row>
    <row r="152" customFormat="false" ht="57" hidden="false" customHeight="true" outlineLevel="0" collapsed="false">
      <c r="A152" s="5" t="n">
        <v>151</v>
      </c>
      <c r="B152" s="6" t="s">
        <v>593</v>
      </c>
      <c r="C152" s="5" t="s">
        <v>594</v>
      </c>
      <c r="D152" s="6" t="s">
        <v>25</v>
      </c>
      <c r="E152" s="5" t="s">
        <v>595</v>
      </c>
      <c r="F152" s="5" t="s">
        <v>596</v>
      </c>
      <c r="G152" s="5" t="s">
        <v>15</v>
      </c>
      <c r="H152" s="5" t="s">
        <v>15</v>
      </c>
      <c r="I152" s="6" t="s">
        <v>597</v>
      </c>
      <c r="J152" s="5" t="s">
        <v>514</v>
      </c>
    </row>
    <row r="153" customFormat="false" ht="45.75" hidden="false" customHeight="true" outlineLevel="0" collapsed="false">
      <c r="A153" s="5" t="n">
        <v>152</v>
      </c>
      <c r="B153" s="6" t="s">
        <v>598</v>
      </c>
      <c r="C153" s="5" t="s">
        <v>599</v>
      </c>
      <c r="D153" s="6" t="s">
        <v>25</v>
      </c>
      <c r="E153" s="5" t="s">
        <v>15</v>
      </c>
      <c r="F153" s="5" t="s">
        <v>15</v>
      </c>
      <c r="G153" s="5" t="s">
        <v>600</v>
      </c>
      <c r="H153" s="5" t="s">
        <v>15</v>
      </c>
      <c r="I153" s="6" t="s">
        <v>601</v>
      </c>
      <c r="J153" s="5" t="s">
        <v>514</v>
      </c>
    </row>
    <row r="154" customFormat="false" ht="34.5" hidden="false" customHeight="true" outlineLevel="0" collapsed="false">
      <c r="A154" s="5" t="n">
        <v>153</v>
      </c>
      <c r="B154" s="6" t="s">
        <v>602</v>
      </c>
      <c r="C154" s="5" t="s">
        <v>603</v>
      </c>
      <c r="D154" s="6" t="s">
        <v>25</v>
      </c>
      <c r="E154" s="5" t="s">
        <v>517</v>
      </c>
      <c r="F154" s="5" t="s">
        <v>15</v>
      </c>
      <c r="G154" s="5" t="s">
        <v>604</v>
      </c>
      <c r="H154" s="5" t="s">
        <v>15</v>
      </c>
      <c r="I154" s="6" t="s">
        <v>605</v>
      </c>
      <c r="J154" s="5" t="s">
        <v>514</v>
      </c>
    </row>
    <row r="155" customFormat="false" ht="45.75" hidden="false" customHeight="true" outlineLevel="0" collapsed="false">
      <c r="A155" s="5" t="n">
        <v>154</v>
      </c>
      <c r="B155" s="6" t="s">
        <v>606</v>
      </c>
      <c r="C155" s="5" t="s">
        <v>607</v>
      </c>
      <c r="D155" s="6" t="s">
        <v>25</v>
      </c>
      <c r="E155" s="5" t="s">
        <v>517</v>
      </c>
      <c r="F155" s="5" t="s">
        <v>15</v>
      </c>
      <c r="G155" s="5" t="s">
        <v>92</v>
      </c>
      <c r="H155" s="5" t="s">
        <v>15</v>
      </c>
      <c r="I155" s="6" t="s">
        <v>608</v>
      </c>
      <c r="J155" s="5" t="s">
        <v>514</v>
      </c>
    </row>
    <row r="156" customFormat="false" ht="34.5" hidden="false" customHeight="true" outlineLevel="0" collapsed="false">
      <c r="A156" s="5" t="n">
        <v>155</v>
      </c>
      <c r="B156" s="6" t="s">
        <v>609</v>
      </c>
      <c r="C156" s="5" t="s">
        <v>610</v>
      </c>
      <c r="D156" s="6" t="s">
        <v>25</v>
      </c>
      <c r="E156" s="5" t="s">
        <v>611</v>
      </c>
      <c r="F156" s="5" t="s">
        <v>15</v>
      </c>
      <c r="G156" s="5" t="s">
        <v>612</v>
      </c>
      <c r="H156" s="5" t="s">
        <v>15</v>
      </c>
      <c r="I156" s="6" t="s">
        <v>613</v>
      </c>
      <c r="J156" s="5" t="s">
        <v>514</v>
      </c>
    </row>
    <row r="157" customFormat="false" ht="34.5" hidden="false" customHeight="true" outlineLevel="0" collapsed="false">
      <c r="A157" s="5" t="n">
        <v>156</v>
      </c>
      <c r="B157" s="6" t="s">
        <v>614</v>
      </c>
      <c r="C157" s="5" t="s">
        <v>615</v>
      </c>
      <c r="D157" s="6" t="s">
        <v>25</v>
      </c>
      <c r="E157" s="5" t="s">
        <v>517</v>
      </c>
      <c r="F157" s="5" t="s">
        <v>15</v>
      </c>
      <c r="G157" s="5" t="s">
        <v>575</v>
      </c>
      <c r="H157" s="5" t="s">
        <v>15</v>
      </c>
      <c r="I157" s="6" t="s">
        <v>616</v>
      </c>
      <c r="J157" s="5" t="s">
        <v>514</v>
      </c>
    </row>
    <row r="158" customFormat="false" ht="34.5" hidden="false" customHeight="true" outlineLevel="0" collapsed="false">
      <c r="A158" s="5" t="n">
        <v>157</v>
      </c>
      <c r="B158" s="6" t="s">
        <v>617</v>
      </c>
      <c r="C158" s="5" t="s">
        <v>618</v>
      </c>
      <c r="D158" s="6" t="s">
        <v>25</v>
      </c>
      <c r="E158" s="5" t="s">
        <v>517</v>
      </c>
      <c r="F158" s="5" t="s">
        <v>15</v>
      </c>
      <c r="G158" s="5" t="s">
        <v>619</v>
      </c>
      <c r="H158" s="5" t="s">
        <v>15</v>
      </c>
      <c r="I158" s="6" t="s">
        <v>620</v>
      </c>
      <c r="J158" s="5" t="s">
        <v>514</v>
      </c>
    </row>
    <row r="159" customFormat="false" ht="23.25" hidden="false" customHeight="true" outlineLevel="0" collapsed="false">
      <c r="A159" s="5" t="n">
        <v>158</v>
      </c>
      <c r="B159" s="6" t="s">
        <v>621</v>
      </c>
      <c r="C159" s="5" t="s">
        <v>622</v>
      </c>
      <c r="D159" s="6" t="s">
        <v>25</v>
      </c>
      <c r="E159" s="5" t="s">
        <v>517</v>
      </c>
      <c r="F159" s="5" t="s">
        <v>15</v>
      </c>
      <c r="G159" s="5" t="s">
        <v>623</v>
      </c>
      <c r="H159" s="5" t="s">
        <v>15</v>
      </c>
      <c r="I159" s="6" t="s">
        <v>624</v>
      </c>
      <c r="J159" s="5" t="s">
        <v>514</v>
      </c>
    </row>
    <row r="160" customFormat="false" ht="45.75" hidden="false" customHeight="true" outlineLevel="0" collapsed="false">
      <c r="A160" s="5" t="n">
        <v>159</v>
      </c>
      <c r="B160" s="6" t="s">
        <v>625</v>
      </c>
      <c r="C160" s="5" t="s">
        <v>626</v>
      </c>
      <c r="D160" s="6" t="s">
        <v>25</v>
      </c>
      <c r="E160" s="5" t="s">
        <v>517</v>
      </c>
      <c r="F160" s="5" t="s">
        <v>627</v>
      </c>
      <c r="G160" s="5" t="s">
        <v>628</v>
      </c>
      <c r="H160" s="5" t="s">
        <v>15</v>
      </c>
      <c r="I160" s="6" t="s">
        <v>629</v>
      </c>
      <c r="J160" s="5" t="s">
        <v>514</v>
      </c>
    </row>
    <row r="161" customFormat="false" ht="34.5" hidden="false" customHeight="true" outlineLevel="0" collapsed="false">
      <c r="A161" s="5" t="n">
        <v>160</v>
      </c>
      <c r="B161" s="6" t="s">
        <v>630</v>
      </c>
      <c r="C161" s="5" t="s">
        <v>631</v>
      </c>
      <c r="D161" s="6" t="s">
        <v>25</v>
      </c>
      <c r="E161" s="5" t="s">
        <v>511</v>
      </c>
      <c r="F161" s="5" t="s">
        <v>15</v>
      </c>
      <c r="G161" s="5" t="s">
        <v>512</v>
      </c>
      <c r="H161" s="5" t="s">
        <v>15</v>
      </c>
      <c r="I161" s="6" t="s">
        <v>632</v>
      </c>
      <c r="J161" s="5" t="s">
        <v>514</v>
      </c>
    </row>
    <row r="162" customFormat="false" ht="23.25" hidden="false" customHeight="true" outlineLevel="0" collapsed="false">
      <c r="A162" s="5" t="n">
        <v>161</v>
      </c>
      <c r="B162" s="6" t="s">
        <v>633</v>
      </c>
      <c r="C162" s="5" t="s">
        <v>634</v>
      </c>
      <c r="D162" s="6" t="s">
        <v>25</v>
      </c>
      <c r="E162" s="5" t="s">
        <v>517</v>
      </c>
      <c r="F162" s="5" t="s">
        <v>15</v>
      </c>
      <c r="G162" s="5" t="s">
        <v>586</v>
      </c>
      <c r="H162" s="5" t="s">
        <v>15</v>
      </c>
      <c r="I162" s="6" t="s">
        <v>587</v>
      </c>
      <c r="J162" s="5" t="s">
        <v>514</v>
      </c>
    </row>
    <row r="163" customFormat="false" ht="45.75" hidden="false" customHeight="true" outlineLevel="0" collapsed="false">
      <c r="A163" s="5" t="n">
        <v>162</v>
      </c>
      <c r="B163" s="6" t="s">
        <v>635</v>
      </c>
      <c r="C163" s="5" t="s">
        <v>636</v>
      </c>
      <c r="D163" s="6" t="s">
        <v>25</v>
      </c>
      <c r="E163" s="5" t="s">
        <v>511</v>
      </c>
      <c r="F163" s="5" t="s">
        <v>15</v>
      </c>
      <c r="G163" s="5" t="s">
        <v>637</v>
      </c>
      <c r="H163" s="5" t="s">
        <v>15</v>
      </c>
      <c r="I163" s="6" t="s">
        <v>638</v>
      </c>
      <c r="J163" s="5" t="s">
        <v>514</v>
      </c>
    </row>
    <row r="164" customFormat="false" ht="57" hidden="false" customHeight="true" outlineLevel="0" collapsed="false">
      <c r="A164" s="5" t="n">
        <v>163</v>
      </c>
      <c r="B164" s="6" t="s">
        <v>639</v>
      </c>
      <c r="C164" s="5" t="s">
        <v>640</v>
      </c>
      <c r="D164" s="6" t="s">
        <v>25</v>
      </c>
      <c r="E164" s="5" t="s">
        <v>517</v>
      </c>
      <c r="F164" s="5" t="s">
        <v>15</v>
      </c>
      <c r="G164" s="5" t="s">
        <v>641</v>
      </c>
      <c r="H164" s="5" t="s">
        <v>15</v>
      </c>
      <c r="I164" s="6" t="s">
        <v>642</v>
      </c>
      <c r="J164" s="5" t="s">
        <v>514</v>
      </c>
    </row>
    <row r="165" customFormat="false" ht="23.25" hidden="false" customHeight="true" outlineLevel="0" collapsed="false">
      <c r="A165" s="5" t="n">
        <v>164</v>
      </c>
      <c r="B165" s="6" t="s">
        <v>643</v>
      </c>
      <c r="C165" s="5" t="s">
        <v>644</v>
      </c>
      <c r="D165" s="6" t="s">
        <v>25</v>
      </c>
      <c r="E165" s="5" t="s">
        <v>517</v>
      </c>
      <c r="F165" s="5" t="s">
        <v>15</v>
      </c>
      <c r="G165" s="5" t="s">
        <v>539</v>
      </c>
      <c r="H165" s="5" t="s">
        <v>15</v>
      </c>
      <c r="I165" s="6" t="s">
        <v>540</v>
      </c>
      <c r="J165" s="5" t="s">
        <v>514</v>
      </c>
    </row>
    <row r="166" customFormat="false" ht="34.5" hidden="false" customHeight="true" outlineLevel="0" collapsed="false">
      <c r="A166" s="5" t="n">
        <v>165</v>
      </c>
      <c r="B166" s="6" t="s">
        <v>645</v>
      </c>
      <c r="C166" s="5" t="s">
        <v>646</v>
      </c>
      <c r="D166" s="6" t="s">
        <v>25</v>
      </c>
      <c r="E166" s="5" t="s">
        <v>517</v>
      </c>
      <c r="F166" s="5" t="s">
        <v>15</v>
      </c>
      <c r="G166" s="5" t="s">
        <v>526</v>
      </c>
      <c r="H166" s="5" t="s">
        <v>15</v>
      </c>
      <c r="I166" s="6" t="s">
        <v>527</v>
      </c>
      <c r="J166" s="5" t="s">
        <v>514</v>
      </c>
    </row>
    <row r="167" customFormat="false" ht="45.75" hidden="false" customHeight="true" outlineLevel="0" collapsed="false">
      <c r="A167" s="5" t="n">
        <v>166</v>
      </c>
      <c r="B167" s="6" t="s">
        <v>647</v>
      </c>
      <c r="C167" s="5" t="s">
        <v>648</v>
      </c>
      <c r="D167" s="6" t="s">
        <v>25</v>
      </c>
      <c r="E167" s="5" t="s">
        <v>649</v>
      </c>
      <c r="F167" s="5" t="s">
        <v>15</v>
      </c>
      <c r="G167" s="5" t="s">
        <v>650</v>
      </c>
      <c r="H167" s="5" t="s">
        <v>15</v>
      </c>
      <c r="I167" s="6" t="s">
        <v>651</v>
      </c>
      <c r="J167" s="5" t="s">
        <v>514</v>
      </c>
    </row>
    <row r="168" customFormat="false" ht="57" hidden="false" customHeight="true" outlineLevel="0" collapsed="false">
      <c r="A168" s="5" t="n">
        <v>167</v>
      </c>
      <c r="B168" s="6" t="s">
        <v>652</v>
      </c>
      <c r="C168" s="5" t="s">
        <v>653</v>
      </c>
      <c r="D168" s="6" t="s">
        <v>128</v>
      </c>
      <c r="E168" s="5" t="s">
        <v>15</v>
      </c>
      <c r="F168" s="5" t="s">
        <v>15</v>
      </c>
      <c r="G168" s="5" t="s">
        <v>654</v>
      </c>
      <c r="H168" s="5" t="s">
        <v>15</v>
      </c>
      <c r="I168" s="6" t="s">
        <v>655</v>
      </c>
      <c r="J168" s="5" t="s">
        <v>514</v>
      </c>
    </row>
    <row r="169" customFormat="false" ht="34.5" hidden="false" customHeight="true" outlineLevel="0" collapsed="false">
      <c r="A169" s="5" t="n">
        <v>168</v>
      </c>
      <c r="B169" s="6" t="s">
        <v>656</v>
      </c>
      <c r="C169" s="5" t="s">
        <v>657</v>
      </c>
      <c r="D169" s="6" t="s">
        <v>128</v>
      </c>
      <c r="E169" s="5" t="s">
        <v>15</v>
      </c>
      <c r="F169" s="5" t="s">
        <v>15</v>
      </c>
      <c r="G169" s="5" t="s">
        <v>658</v>
      </c>
      <c r="H169" s="5" t="s">
        <v>15</v>
      </c>
      <c r="I169" s="6" t="s">
        <v>659</v>
      </c>
      <c r="J169" s="5" t="s">
        <v>514</v>
      </c>
    </row>
    <row r="170" customFormat="false" ht="57" hidden="false" customHeight="true" outlineLevel="0" collapsed="false">
      <c r="A170" s="5" t="n">
        <v>169</v>
      </c>
      <c r="B170" s="6" t="s">
        <v>660</v>
      </c>
      <c r="C170" s="5" t="s">
        <v>661</v>
      </c>
      <c r="D170" s="6" t="s">
        <v>128</v>
      </c>
      <c r="E170" s="5" t="s">
        <v>15</v>
      </c>
      <c r="F170" s="5" t="s">
        <v>15</v>
      </c>
      <c r="G170" s="5" t="s">
        <v>662</v>
      </c>
      <c r="H170" s="5" t="s">
        <v>15</v>
      </c>
      <c r="I170" s="6" t="s">
        <v>663</v>
      </c>
      <c r="J170" s="5" t="s">
        <v>514</v>
      </c>
    </row>
    <row r="171" customFormat="false" ht="23.25" hidden="false" customHeight="true" outlineLevel="0" collapsed="false">
      <c r="A171" s="5" t="n">
        <v>170</v>
      </c>
      <c r="B171" s="6" t="s">
        <v>664</v>
      </c>
      <c r="C171" s="5" t="s">
        <v>665</v>
      </c>
      <c r="D171" s="6" t="s">
        <v>128</v>
      </c>
      <c r="E171" s="5" t="s">
        <v>137</v>
      </c>
      <c r="F171" s="5" t="s">
        <v>666</v>
      </c>
      <c r="G171" s="5" t="s">
        <v>667</v>
      </c>
      <c r="H171" s="5" t="s">
        <v>15</v>
      </c>
      <c r="I171" s="6" t="s">
        <v>668</v>
      </c>
      <c r="J171" s="5" t="s">
        <v>514</v>
      </c>
    </row>
    <row r="172" customFormat="false" ht="34.5" hidden="false" customHeight="true" outlineLevel="0" collapsed="false">
      <c r="A172" s="5" t="n">
        <v>171</v>
      </c>
      <c r="B172" s="6" t="s">
        <v>669</v>
      </c>
      <c r="C172" s="5" t="s">
        <v>670</v>
      </c>
      <c r="D172" s="6" t="s">
        <v>168</v>
      </c>
      <c r="E172" s="5" t="s">
        <v>15</v>
      </c>
      <c r="F172" s="5" t="s">
        <v>15</v>
      </c>
      <c r="G172" s="5" t="s">
        <v>169</v>
      </c>
      <c r="H172" s="5" t="s">
        <v>15</v>
      </c>
      <c r="I172" s="6" t="s">
        <v>671</v>
      </c>
      <c r="J172" s="5" t="s">
        <v>514</v>
      </c>
    </row>
    <row r="173" customFormat="false" ht="45.75" hidden="false" customHeight="true" outlineLevel="0" collapsed="false">
      <c r="A173" s="5" t="n">
        <v>172</v>
      </c>
      <c r="B173" s="6" t="s">
        <v>672</v>
      </c>
      <c r="C173" s="5" t="s">
        <v>673</v>
      </c>
      <c r="D173" s="6" t="s">
        <v>128</v>
      </c>
      <c r="E173" s="5" t="s">
        <v>137</v>
      </c>
      <c r="F173" s="5" t="s">
        <v>15</v>
      </c>
      <c r="G173" s="5" t="s">
        <v>674</v>
      </c>
      <c r="H173" s="5" t="s">
        <v>15</v>
      </c>
      <c r="I173" s="6" t="s">
        <v>675</v>
      </c>
      <c r="J173" s="5" t="s">
        <v>514</v>
      </c>
    </row>
    <row r="174" customFormat="false" ht="23.25" hidden="false" customHeight="true" outlineLevel="0" collapsed="false">
      <c r="A174" s="5" t="n">
        <v>173</v>
      </c>
      <c r="B174" s="6" t="s">
        <v>676</v>
      </c>
      <c r="C174" s="5" t="s">
        <v>677</v>
      </c>
      <c r="D174" s="6" t="s">
        <v>128</v>
      </c>
      <c r="E174" s="5" t="s">
        <v>147</v>
      </c>
      <c r="F174" s="5" t="s">
        <v>678</v>
      </c>
      <c r="G174" s="5" t="s">
        <v>15</v>
      </c>
      <c r="H174" s="5" t="s">
        <v>15</v>
      </c>
      <c r="I174" s="6" t="s">
        <v>679</v>
      </c>
      <c r="J174" s="5" t="s">
        <v>514</v>
      </c>
    </row>
    <row r="175" customFormat="false" ht="45.75" hidden="false" customHeight="true" outlineLevel="0" collapsed="false">
      <c r="A175" s="5" t="n">
        <v>174</v>
      </c>
      <c r="B175" s="6" t="s">
        <v>680</v>
      </c>
      <c r="C175" s="5" t="s">
        <v>680</v>
      </c>
      <c r="D175" s="6" t="s">
        <v>183</v>
      </c>
      <c r="E175" s="5" t="s">
        <v>15</v>
      </c>
      <c r="F175" s="5" t="s">
        <v>15</v>
      </c>
      <c r="G175" s="5" t="s">
        <v>681</v>
      </c>
      <c r="H175" s="5" t="s">
        <v>15</v>
      </c>
      <c r="I175" s="6" t="s">
        <v>682</v>
      </c>
      <c r="J175" s="5" t="s">
        <v>514</v>
      </c>
    </row>
    <row r="176" customFormat="false" ht="34.5" hidden="false" customHeight="true" outlineLevel="0" collapsed="false">
      <c r="A176" s="5" t="n">
        <v>175</v>
      </c>
      <c r="B176" s="6" t="s">
        <v>683</v>
      </c>
      <c r="C176" s="5" t="s">
        <v>683</v>
      </c>
      <c r="D176" s="6" t="s">
        <v>183</v>
      </c>
      <c r="E176" s="5" t="s">
        <v>15</v>
      </c>
      <c r="F176" s="5" t="s">
        <v>15</v>
      </c>
      <c r="G176" s="5" t="s">
        <v>684</v>
      </c>
      <c r="H176" s="5" t="s">
        <v>15</v>
      </c>
      <c r="I176" s="6" t="s">
        <v>685</v>
      </c>
      <c r="J176" s="5" t="s">
        <v>514</v>
      </c>
    </row>
    <row r="177" customFormat="false" ht="45.75" hidden="false" customHeight="true" outlineLevel="0" collapsed="false">
      <c r="A177" s="5" t="n">
        <v>176</v>
      </c>
      <c r="B177" s="6" t="s">
        <v>686</v>
      </c>
      <c r="C177" s="5" t="s">
        <v>686</v>
      </c>
      <c r="D177" s="6" t="s">
        <v>183</v>
      </c>
      <c r="E177" s="5" t="s">
        <v>15</v>
      </c>
      <c r="F177" s="5" t="s">
        <v>15</v>
      </c>
      <c r="G177" s="5" t="s">
        <v>687</v>
      </c>
      <c r="H177" s="5" t="s">
        <v>15</v>
      </c>
      <c r="I177" s="6" t="s">
        <v>688</v>
      </c>
      <c r="J177" s="5" t="s">
        <v>514</v>
      </c>
    </row>
    <row r="178" customFormat="false" ht="57" hidden="false" customHeight="true" outlineLevel="0" collapsed="false">
      <c r="A178" s="5" t="n">
        <v>177</v>
      </c>
      <c r="B178" s="6" t="s">
        <v>689</v>
      </c>
      <c r="C178" s="5" t="s">
        <v>689</v>
      </c>
      <c r="D178" s="6" t="s">
        <v>183</v>
      </c>
      <c r="E178" s="5" t="s">
        <v>15</v>
      </c>
      <c r="F178" s="5" t="s">
        <v>15</v>
      </c>
      <c r="G178" s="5" t="s">
        <v>690</v>
      </c>
      <c r="H178" s="5" t="s">
        <v>15</v>
      </c>
      <c r="I178" s="6" t="s">
        <v>691</v>
      </c>
      <c r="J178" s="5" t="s">
        <v>514</v>
      </c>
    </row>
    <row r="179" customFormat="false" ht="45.75" hidden="false" customHeight="true" outlineLevel="0" collapsed="false">
      <c r="A179" s="5" t="n">
        <v>178</v>
      </c>
      <c r="B179" s="6" t="s">
        <v>692</v>
      </c>
      <c r="C179" s="5" t="s">
        <v>692</v>
      </c>
      <c r="D179" s="6" t="s">
        <v>183</v>
      </c>
      <c r="E179" s="5" t="s">
        <v>15</v>
      </c>
      <c r="F179" s="5" t="s">
        <v>15</v>
      </c>
      <c r="G179" s="5" t="s">
        <v>257</v>
      </c>
      <c r="H179" s="5" t="s">
        <v>15</v>
      </c>
      <c r="I179" s="6" t="s">
        <v>258</v>
      </c>
      <c r="J179" s="5" t="s">
        <v>514</v>
      </c>
    </row>
    <row r="180" customFormat="false" ht="45.75" hidden="false" customHeight="true" outlineLevel="0" collapsed="false">
      <c r="A180" s="5" t="n">
        <v>179</v>
      </c>
      <c r="B180" s="6" t="s">
        <v>693</v>
      </c>
      <c r="C180" s="5" t="s">
        <v>693</v>
      </c>
      <c r="D180" s="6" t="s">
        <v>183</v>
      </c>
      <c r="E180" s="5" t="s">
        <v>15</v>
      </c>
      <c r="F180" s="5" t="s">
        <v>15</v>
      </c>
      <c r="G180" s="5" t="s">
        <v>694</v>
      </c>
      <c r="H180" s="5" t="s">
        <v>15</v>
      </c>
      <c r="I180" s="6" t="s">
        <v>695</v>
      </c>
      <c r="J180" s="5" t="s">
        <v>514</v>
      </c>
    </row>
    <row r="181" customFormat="false" ht="45.75" hidden="false" customHeight="true" outlineLevel="0" collapsed="false">
      <c r="A181" s="5" t="n">
        <v>180</v>
      </c>
      <c r="B181" s="6" t="s">
        <v>696</v>
      </c>
      <c r="C181" s="5" t="s">
        <v>696</v>
      </c>
      <c r="D181" s="6" t="s">
        <v>183</v>
      </c>
      <c r="E181" s="5" t="s">
        <v>15</v>
      </c>
      <c r="F181" s="5" t="s">
        <v>15</v>
      </c>
      <c r="G181" s="5" t="s">
        <v>697</v>
      </c>
      <c r="H181" s="5" t="s">
        <v>15</v>
      </c>
      <c r="I181" s="6" t="s">
        <v>698</v>
      </c>
      <c r="J181" s="5" t="s">
        <v>514</v>
      </c>
    </row>
    <row r="182" customFormat="false" ht="34.5" hidden="false" customHeight="true" outlineLevel="0" collapsed="false">
      <c r="A182" s="5" t="n">
        <v>181</v>
      </c>
      <c r="B182" s="6" t="s">
        <v>699</v>
      </c>
      <c r="C182" s="5" t="s">
        <v>699</v>
      </c>
      <c r="D182" s="6" t="s">
        <v>183</v>
      </c>
      <c r="E182" s="5" t="s">
        <v>15</v>
      </c>
      <c r="F182" s="5" t="s">
        <v>15</v>
      </c>
      <c r="G182" s="5" t="s">
        <v>700</v>
      </c>
      <c r="H182" s="5" t="s">
        <v>15</v>
      </c>
      <c r="I182" s="6" t="s">
        <v>701</v>
      </c>
      <c r="J182" s="5" t="s">
        <v>514</v>
      </c>
    </row>
    <row r="183" customFormat="false" ht="45.75" hidden="false" customHeight="true" outlineLevel="0" collapsed="false">
      <c r="A183" s="5" t="n">
        <v>182</v>
      </c>
      <c r="B183" s="6" t="s">
        <v>702</v>
      </c>
      <c r="C183" s="5" t="s">
        <v>702</v>
      </c>
      <c r="D183" s="6" t="s">
        <v>183</v>
      </c>
      <c r="E183" s="5" t="s">
        <v>15</v>
      </c>
      <c r="F183" s="5" t="s">
        <v>15</v>
      </c>
      <c r="G183" s="5" t="s">
        <v>703</v>
      </c>
      <c r="H183" s="5" t="s">
        <v>15</v>
      </c>
      <c r="I183" s="6" t="s">
        <v>704</v>
      </c>
      <c r="J183" s="5" t="s">
        <v>514</v>
      </c>
    </row>
    <row r="184" customFormat="false" ht="34.5" hidden="false" customHeight="true" outlineLevel="0" collapsed="false">
      <c r="A184" s="5" t="n">
        <v>183</v>
      </c>
      <c r="B184" s="6" t="s">
        <v>705</v>
      </c>
      <c r="C184" s="5" t="s">
        <v>705</v>
      </c>
      <c r="D184" s="6" t="s">
        <v>183</v>
      </c>
      <c r="E184" s="5" t="s">
        <v>15</v>
      </c>
      <c r="F184" s="5" t="s">
        <v>706</v>
      </c>
      <c r="G184" s="5" t="s">
        <v>707</v>
      </c>
      <c r="H184" s="5" t="s">
        <v>15</v>
      </c>
      <c r="I184" s="6" t="s">
        <v>708</v>
      </c>
      <c r="J184" s="5" t="s">
        <v>514</v>
      </c>
    </row>
    <row r="185" customFormat="false" ht="45.75" hidden="false" customHeight="true" outlineLevel="0" collapsed="false">
      <c r="A185" s="5" t="n">
        <v>184</v>
      </c>
      <c r="B185" s="6" t="s">
        <v>709</v>
      </c>
      <c r="C185" s="5" t="s">
        <v>709</v>
      </c>
      <c r="D185" s="6" t="s">
        <v>183</v>
      </c>
      <c r="E185" s="5" t="s">
        <v>15</v>
      </c>
      <c r="F185" s="5" t="s">
        <v>15</v>
      </c>
      <c r="G185" s="5" t="s">
        <v>710</v>
      </c>
      <c r="H185" s="5" t="s">
        <v>15</v>
      </c>
      <c r="I185" s="6" t="s">
        <v>711</v>
      </c>
      <c r="J185" s="5" t="s">
        <v>514</v>
      </c>
    </row>
    <row r="186" customFormat="false" ht="45.75" hidden="false" customHeight="true" outlineLevel="0" collapsed="false">
      <c r="A186" s="5" t="n">
        <v>185</v>
      </c>
      <c r="B186" s="6" t="s">
        <v>712</v>
      </c>
      <c r="C186" s="5" t="s">
        <v>712</v>
      </c>
      <c r="D186" s="6" t="s">
        <v>183</v>
      </c>
      <c r="E186" s="5" t="s">
        <v>15</v>
      </c>
      <c r="F186" s="5" t="s">
        <v>15</v>
      </c>
      <c r="G186" s="5" t="s">
        <v>713</v>
      </c>
      <c r="H186" s="5" t="s">
        <v>15</v>
      </c>
      <c r="I186" s="6" t="s">
        <v>714</v>
      </c>
      <c r="J186" s="5" t="s">
        <v>514</v>
      </c>
    </row>
    <row r="187" customFormat="false" ht="45.75" hidden="false" customHeight="true" outlineLevel="0" collapsed="false">
      <c r="A187" s="5" t="n">
        <v>186</v>
      </c>
      <c r="B187" s="6" t="s">
        <v>715</v>
      </c>
      <c r="C187" s="5" t="s">
        <v>715</v>
      </c>
      <c r="D187" s="6" t="s">
        <v>183</v>
      </c>
      <c r="E187" s="5" t="s">
        <v>15</v>
      </c>
      <c r="F187" s="5" t="s">
        <v>15</v>
      </c>
      <c r="G187" s="5" t="s">
        <v>716</v>
      </c>
      <c r="H187" s="5" t="s">
        <v>15</v>
      </c>
      <c r="I187" s="6" t="s">
        <v>717</v>
      </c>
      <c r="J187" s="5" t="s">
        <v>514</v>
      </c>
    </row>
    <row r="188" customFormat="false" ht="45.75" hidden="false" customHeight="true" outlineLevel="0" collapsed="false">
      <c r="A188" s="5" t="n">
        <v>187</v>
      </c>
      <c r="B188" s="6" t="s">
        <v>718</v>
      </c>
      <c r="C188" s="5" t="s">
        <v>718</v>
      </c>
      <c r="D188" s="6" t="s">
        <v>183</v>
      </c>
      <c r="E188" s="5" t="s">
        <v>15</v>
      </c>
      <c r="F188" s="5" t="s">
        <v>15</v>
      </c>
      <c r="G188" s="5" t="s">
        <v>719</v>
      </c>
      <c r="H188" s="5" t="s">
        <v>15</v>
      </c>
      <c r="I188" s="6" t="s">
        <v>720</v>
      </c>
      <c r="J188" s="5" t="s">
        <v>514</v>
      </c>
    </row>
    <row r="189" customFormat="false" ht="34.5" hidden="false" customHeight="true" outlineLevel="0" collapsed="false">
      <c r="A189" s="5" t="n">
        <v>188</v>
      </c>
      <c r="B189" s="6" t="s">
        <v>721</v>
      </c>
      <c r="C189" s="5" t="s">
        <v>721</v>
      </c>
      <c r="D189" s="6" t="s">
        <v>183</v>
      </c>
      <c r="E189" s="5" t="s">
        <v>15</v>
      </c>
      <c r="F189" s="5" t="s">
        <v>15</v>
      </c>
      <c r="G189" s="5" t="s">
        <v>722</v>
      </c>
      <c r="H189" s="5" t="s">
        <v>15</v>
      </c>
      <c r="I189" s="6" t="s">
        <v>723</v>
      </c>
      <c r="J189" s="5" t="s">
        <v>514</v>
      </c>
    </row>
    <row r="190" customFormat="false" ht="34.5" hidden="false" customHeight="true" outlineLevel="0" collapsed="false">
      <c r="A190" s="5" t="n">
        <v>189</v>
      </c>
      <c r="B190" s="6" t="s">
        <v>724</v>
      </c>
      <c r="C190" s="5" t="s">
        <v>724</v>
      </c>
      <c r="D190" s="6" t="s">
        <v>183</v>
      </c>
      <c r="E190" s="5" t="s">
        <v>15</v>
      </c>
      <c r="F190" s="5" t="s">
        <v>725</v>
      </c>
      <c r="G190" s="5" t="s">
        <v>726</v>
      </c>
      <c r="H190" s="5" t="s">
        <v>15</v>
      </c>
      <c r="I190" s="6" t="s">
        <v>727</v>
      </c>
      <c r="J190" s="5" t="s">
        <v>514</v>
      </c>
    </row>
    <row r="191" customFormat="false" ht="57" hidden="false" customHeight="true" outlineLevel="0" collapsed="false">
      <c r="A191" s="5" t="n">
        <v>190</v>
      </c>
      <c r="B191" s="6" t="s">
        <v>728</v>
      </c>
      <c r="C191" s="5" t="s">
        <v>728</v>
      </c>
      <c r="D191" s="6" t="s">
        <v>183</v>
      </c>
      <c r="E191" s="5" t="s">
        <v>15</v>
      </c>
      <c r="F191" s="5" t="s">
        <v>15</v>
      </c>
      <c r="G191" s="5" t="s">
        <v>729</v>
      </c>
      <c r="H191" s="5" t="s">
        <v>15</v>
      </c>
      <c r="I191" s="6" t="s">
        <v>730</v>
      </c>
      <c r="J191" s="5" t="s">
        <v>514</v>
      </c>
    </row>
    <row r="192" customFormat="false" ht="45.75" hidden="false" customHeight="true" outlineLevel="0" collapsed="false">
      <c r="A192" s="5" t="n">
        <v>191</v>
      </c>
      <c r="B192" s="6" t="s">
        <v>731</v>
      </c>
      <c r="C192" s="5" t="s">
        <v>731</v>
      </c>
      <c r="D192" s="6" t="s">
        <v>183</v>
      </c>
      <c r="E192" s="5" t="s">
        <v>15</v>
      </c>
      <c r="F192" s="5" t="s">
        <v>15</v>
      </c>
      <c r="G192" s="5" t="s">
        <v>732</v>
      </c>
      <c r="H192" s="5" t="s">
        <v>15</v>
      </c>
      <c r="I192" s="6" t="s">
        <v>733</v>
      </c>
      <c r="J192" s="5" t="s">
        <v>514</v>
      </c>
    </row>
    <row r="193" customFormat="false" ht="68.25" hidden="false" customHeight="true" outlineLevel="0" collapsed="false">
      <c r="A193" s="5" t="n">
        <v>192</v>
      </c>
      <c r="B193" s="6" t="s">
        <v>734</v>
      </c>
      <c r="C193" s="5" t="s">
        <v>734</v>
      </c>
      <c r="D193" s="6" t="s">
        <v>183</v>
      </c>
      <c r="E193" s="5" t="s">
        <v>15</v>
      </c>
      <c r="F193" s="5" t="s">
        <v>15</v>
      </c>
      <c r="G193" s="5" t="s">
        <v>735</v>
      </c>
      <c r="H193" s="5" t="s">
        <v>15</v>
      </c>
      <c r="I193" s="6" t="s">
        <v>736</v>
      </c>
      <c r="J193" s="5" t="s">
        <v>514</v>
      </c>
    </row>
    <row r="194" customFormat="false" ht="57" hidden="false" customHeight="true" outlineLevel="0" collapsed="false">
      <c r="A194" s="5" t="n">
        <v>193</v>
      </c>
      <c r="B194" s="6" t="s">
        <v>737</v>
      </c>
      <c r="C194" s="5" t="s">
        <v>737</v>
      </c>
      <c r="D194" s="6" t="s">
        <v>183</v>
      </c>
      <c r="E194" s="5" t="s">
        <v>15</v>
      </c>
      <c r="F194" s="5" t="s">
        <v>738</v>
      </c>
      <c r="G194" s="5" t="s">
        <v>739</v>
      </c>
      <c r="H194" s="5" t="s">
        <v>15</v>
      </c>
      <c r="I194" s="6" t="s">
        <v>740</v>
      </c>
      <c r="J194" s="5" t="s">
        <v>514</v>
      </c>
    </row>
    <row r="195" customFormat="false" ht="57" hidden="false" customHeight="true" outlineLevel="0" collapsed="false">
      <c r="A195" s="5" t="n">
        <v>194</v>
      </c>
      <c r="B195" s="6" t="s">
        <v>741</v>
      </c>
      <c r="C195" s="5" t="s">
        <v>741</v>
      </c>
      <c r="D195" s="6" t="s">
        <v>183</v>
      </c>
      <c r="E195" s="5" t="s">
        <v>15</v>
      </c>
      <c r="F195" s="5" t="s">
        <v>15</v>
      </c>
      <c r="G195" s="5" t="s">
        <v>742</v>
      </c>
      <c r="H195" s="5" t="s">
        <v>15</v>
      </c>
      <c r="I195" s="6" t="s">
        <v>743</v>
      </c>
      <c r="J195" s="5" t="s">
        <v>514</v>
      </c>
    </row>
    <row r="196" customFormat="false" ht="15" hidden="false" customHeight="true" outlineLevel="0" collapsed="false">
      <c r="A196" s="5" t="n">
        <v>195</v>
      </c>
      <c r="B196" s="6" t="s">
        <v>744</v>
      </c>
      <c r="C196" s="5" t="s">
        <v>745</v>
      </c>
      <c r="D196" s="6" t="s">
        <v>183</v>
      </c>
      <c r="E196" s="5" t="s">
        <v>15</v>
      </c>
      <c r="F196" s="5" t="s">
        <v>15</v>
      </c>
      <c r="G196" s="5" t="s">
        <v>746</v>
      </c>
      <c r="H196" s="5" t="s">
        <v>15</v>
      </c>
      <c r="I196" s="6" t="s">
        <v>747</v>
      </c>
      <c r="J196" s="5" t="s">
        <v>514</v>
      </c>
    </row>
    <row r="197" customFormat="false" ht="34.5" hidden="false" customHeight="true" outlineLevel="0" collapsed="false">
      <c r="A197" s="5" t="n">
        <v>196</v>
      </c>
      <c r="B197" s="6" t="s">
        <v>748</v>
      </c>
      <c r="C197" s="5" t="s">
        <v>749</v>
      </c>
      <c r="D197" s="6" t="s">
        <v>183</v>
      </c>
      <c r="E197" s="5" t="s">
        <v>15</v>
      </c>
      <c r="F197" s="5" t="s">
        <v>15</v>
      </c>
      <c r="G197" s="5" t="s">
        <v>750</v>
      </c>
      <c r="H197" s="5" t="s">
        <v>15</v>
      </c>
      <c r="I197" s="6" t="s">
        <v>751</v>
      </c>
      <c r="J197" s="5" t="s">
        <v>514</v>
      </c>
    </row>
    <row r="198" customFormat="false" ht="34.5" hidden="false" customHeight="true" outlineLevel="0" collapsed="false">
      <c r="A198" s="5" t="n">
        <v>197</v>
      </c>
      <c r="B198" s="6" t="s">
        <v>752</v>
      </c>
      <c r="C198" s="5" t="s">
        <v>753</v>
      </c>
      <c r="D198" s="6" t="s">
        <v>183</v>
      </c>
      <c r="E198" s="5" t="s">
        <v>754</v>
      </c>
      <c r="F198" s="5" t="s">
        <v>755</v>
      </c>
      <c r="G198" s="5" t="s">
        <v>756</v>
      </c>
      <c r="H198" s="5" t="s">
        <v>15</v>
      </c>
      <c r="I198" s="6" t="s">
        <v>757</v>
      </c>
      <c r="J198" s="5" t="s">
        <v>514</v>
      </c>
    </row>
    <row r="199" customFormat="false" ht="34.5" hidden="false" customHeight="true" outlineLevel="0" collapsed="false">
      <c r="A199" s="5" t="n">
        <v>198</v>
      </c>
      <c r="B199" s="6" t="s">
        <v>758</v>
      </c>
      <c r="C199" s="5" t="s">
        <v>759</v>
      </c>
      <c r="D199" s="6" t="s">
        <v>183</v>
      </c>
      <c r="E199" s="5" t="s">
        <v>290</v>
      </c>
      <c r="F199" s="5" t="s">
        <v>760</v>
      </c>
      <c r="G199" s="5" t="s">
        <v>448</v>
      </c>
      <c r="H199" s="5" t="s">
        <v>15</v>
      </c>
      <c r="I199" s="6" t="s">
        <v>761</v>
      </c>
      <c r="J199" s="5" t="s">
        <v>514</v>
      </c>
    </row>
    <row r="200" customFormat="false" ht="34.5" hidden="false" customHeight="true" outlineLevel="0" collapsed="false">
      <c r="A200" s="5" t="n">
        <v>199</v>
      </c>
      <c r="B200" s="6" t="s">
        <v>762</v>
      </c>
      <c r="C200" s="5" t="s">
        <v>763</v>
      </c>
      <c r="D200" s="6" t="s">
        <v>183</v>
      </c>
      <c r="E200" s="5" t="s">
        <v>290</v>
      </c>
      <c r="F200" s="5" t="s">
        <v>764</v>
      </c>
      <c r="G200" s="5" t="s">
        <v>448</v>
      </c>
      <c r="H200" s="5" t="s">
        <v>15</v>
      </c>
      <c r="I200" s="6" t="s">
        <v>765</v>
      </c>
      <c r="J200" s="5" t="s">
        <v>514</v>
      </c>
    </row>
    <row r="201" customFormat="false" ht="23.25" hidden="false" customHeight="true" outlineLevel="0" collapsed="false">
      <c r="A201" s="5" t="n">
        <v>200</v>
      </c>
      <c r="B201" s="6" t="s">
        <v>766</v>
      </c>
      <c r="C201" s="5" t="s">
        <v>767</v>
      </c>
      <c r="D201" s="6" t="s">
        <v>183</v>
      </c>
      <c r="E201" s="5" t="s">
        <v>290</v>
      </c>
      <c r="F201" s="5" t="s">
        <v>768</v>
      </c>
      <c r="G201" s="5" t="s">
        <v>448</v>
      </c>
      <c r="H201" s="5" t="s">
        <v>15</v>
      </c>
      <c r="I201" s="6" t="s">
        <v>769</v>
      </c>
      <c r="J201" s="5" t="s">
        <v>514</v>
      </c>
    </row>
    <row r="202" customFormat="false" ht="57" hidden="false" customHeight="true" outlineLevel="0" collapsed="false">
      <c r="A202" s="5" t="n">
        <v>201</v>
      </c>
      <c r="B202" s="6" t="s">
        <v>770</v>
      </c>
      <c r="C202" s="5" t="s">
        <v>771</v>
      </c>
      <c r="D202" s="6" t="s">
        <v>183</v>
      </c>
      <c r="E202" s="5" t="s">
        <v>15</v>
      </c>
      <c r="F202" s="5" t="s">
        <v>772</v>
      </c>
      <c r="G202" s="5" t="s">
        <v>773</v>
      </c>
      <c r="H202" s="5" t="s">
        <v>15</v>
      </c>
      <c r="I202" s="6" t="s">
        <v>774</v>
      </c>
      <c r="J202" s="5" t="s">
        <v>514</v>
      </c>
    </row>
    <row r="203" customFormat="false" ht="34.5" hidden="false" customHeight="true" outlineLevel="0" collapsed="false">
      <c r="A203" s="5" t="n">
        <v>202</v>
      </c>
      <c r="B203" s="6" t="s">
        <v>775</v>
      </c>
      <c r="C203" s="5" t="s">
        <v>776</v>
      </c>
      <c r="D203" s="6" t="s">
        <v>183</v>
      </c>
      <c r="E203" s="5" t="s">
        <v>15</v>
      </c>
      <c r="F203" s="5" t="s">
        <v>15</v>
      </c>
      <c r="G203" s="5" t="s">
        <v>777</v>
      </c>
      <c r="H203" s="5" t="s">
        <v>15</v>
      </c>
      <c r="I203" s="6" t="s">
        <v>778</v>
      </c>
      <c r="J203" s="5" t="s">
        <v>514</v>
      </c>
    </row>
    <row r="204" customFormat="false" ht="45.75" hidden="false" customHeight="true" outlineLevel="0" collapsed="false">
      <c r="A204" s="5" t="n">
        <v>203</v>
      </c>
      <c r="B204" s="6" t="s">
        <v>779</v>
      </c>
      <c r="C204" s="5" t="s">
        <v>780</v>
      </c>
      <c r="D204" s="6" t="s">
        <v>183</v>
      </c>
      <c r="E204" s="5" t="s">
        <v>290</v>
      </c>
      <c r="F204" s="5" t="s">
        <v>15</v>
      </c>
      <c r="G204" s="5" t="s">
        <v>781</v>
      </c>
      <c r="H204" s="5" t="s">
        <v>15</v>
      </c>
      <c r="I204" s="6" t="s">
        <v>782</v>
      </c>
      <c r="J204" s="5" t="s">
        <v>514</v>
      </c>
    </row>
    <row r="205" customFormat="false" ht="57" hidden="false" customHeight="true" outlineLevel="0" collapsed="false">
      <c r="A205" s="5" t="n">
        <v>204</v>
      </c>
      <c r="B205" s="6" t="s">
        <v>783</v>
      </c>
      <c r="C205" s="5" t="s">
        <v>784</v>
      </c>
      <c r="D205" s="6" t="s">
        <v>183</v>
      </c>
      <c r="E205" s="5" t="s">
        <v>15</v>
      </c>
      <c r="F205" s="5" t="s">
        <v>15</v>
      </c>
      <c r="G205" s="5" t="s">
        <v>375</v>
      </c>
      <c r="H205" s="5" t="s">
        <v>15</v>
      </c>
      <c r="I205" s="6" t="s">
        <v>785</v>
      </c>
      <c r="J205" s="5" t="s">
        <v>514</v>
      </c>
    </row>
    <row r="206" customFormat="false" ht="23.25" hidden="false" customHeight="true" outlineLevel="0" collapsed="false">
      <c r="A206" s="5" t="n">
        <v>205</v>
      </c>
      <c r="B206" s="6" t="s">
        <v>786</v>
      </c>
      <c r="C206" s="5" t="s">
        <v>787</v>
      </c>
      <c r="D206" s="6" t="s">
        <v>183</v>
      </c>
      <c r="E206" s="5" t="s">
        <v>15</v>
      </c>
      <c r="F206" s="5" t="s">
        <v>15</v>
      </c>
      <c r="G206" s="5" t="s">
        <v>788</v>
      </c>
      <c r="H206" s="5" t="s">
        <v>15</v>
      </c>
      <c r="I206" s="6" t="s">
        <v>789</v>
      </c>
      <c r="J206" s="5" t="s">
        <v>514</v>
      </c>
    </row>
    <row r="207" customFormat="false" ht="23.25" hidden="false" customHeight="true" outlineLevel="0" collapsed="false">
      <c r="A207" s="5" t="n">
        <v>206</v>
      </c>
      <c r="B207" s="6" t="s">
        <v>790</v>
      </c>
      <c r="C207" s="5" t="s">
        <v>791</v>
      </c>
      <c r="D207" s="6" t="s">
        <v>183</v>
      </c>
      <c r="E207" s="5" t="s">
        <v>15</v>
      </c>
      <c r="F207" s="5" t="s">
        <v>15</v>
      </c>
      <c r="G207" s="5" t="s">
        <v>788</v>
      </c>
      <c r="H207" s="5" t="s">
        <v>15</v>
      </c>
      <c r="I207" s="6" t="s">
        <v>789</v>
      </c>
      <c r="J207" s="5" t="s">
        <v>514</v>
      </c>
    </row>
    <row r="208" customFormat="false" ht="68.25" hidden="false" customHeight="true" outlineLevel="0" collapsed="false">
      <c r="A208" s="5" t="n">
        <v>207</v>
      </c>
      <c r="B208" s="6" t="s">
        <v>792</v>
      </c>
      <c r="C208" s="5" t="s">
        <v>793</v>
      </c>
      <c r="D208" s="6" t="s">
        <v>183</v>
      </c>
      <c r="E208" s="5" t="s">
        <v>15</v>
      </c>
      <c r="F208" s="5" t="s">
        <v>15</v>
      </c>
      <c r="G208" s="5" t="s">
        <v>794</v>
      </c>
      <c r="H208" s="5" t="s">
        <v>15</v>
      </c>
      <c r="I208" s="6" t="s">
        <v>795</v>
      </c>
      <c r="J208" s="5" t="s">
        <v>514</v>
      </c>
    </row>
    <row r="209" customFormat="false" ht="23.25" hidden="false" customHeight="true" outlineLevel="0" collapsed="false">
      <c r="A209" s="5" t="n">
        <v>208</v>
      </c>
      <c r="B209" s="6" t="s">
        <v>796</v>
      </c>
      <c r="C209" s="5" t="s">
        <v>797</v>
      </c>
      <c r="D209" s="6" t="s">
        <v>183</v>
      </c>
      <c r="E209" s="5" t="s">
        <v>15</v>
      </c>
      <c r="F209" s="5" t="s">
        <v>15</v>
      </c>
      <c r="G209" s="5" t="s">
        <v>798</v>
      </c>
      <c r="H209" s="5" t="s">
        <v>15</v>
      </c>
      <c r="I209" s="6" t="s">
        <v>789</v>
      </c>
      <c r="J209" s="5" t="s">
        <v>514</v>
      </c>
    </row>
    <row r="210" customFormat="false" ht="45.75" hidden="false" customHeight="true" outlineLevel="0" collapsed="false">
      <c r="A210" s="5" t="n">
        <v>209</v>
      </c>
      <c r="B210" s="6" t="s">
        <v>799</v>
      </c>
      <c r="C210" s="5" t="s">
        <v>800</v>
      </c>
      <c r="D210" s="6" t="s">
        <v>183</v>
      </c>
      <c r="E210" s="5" t="s">
        <v>459</v>
      </c>
      <c r="F210" s="5" t="s">
        <v>801</v>
      </c>
      <c r="G210" s="5" t="s">
        <v>802</v>
      </c>
      <c r="H210" s="5" t="s">
        <v>15</v>
      </c>
      <c r="I210" s="6" t="s">
        <v>803</v>
      </c>
      <c r="J210" s="5" t="s">
        <v>514</v>
      </c>
    </row>
    <row r="211" customFormat="false" ht="45.75" hidden="false" customHeight="true" outlineLevel="0" collapsed="false">
      <c r="A211" s="5" t="n">
        <v>210</v>
      </c>
      <c r="B211" s="6" t="s">
        <v>804</v>
      </c>
      <c r="C211" s="5" t="s">
        <v>805</v>
      </c>
      <c r="D211" s="6" t="s">
        <v>183</v>
      </c>
      <c r="E211" s="5" t="s">
        <v>15</v>
      </c>
      <c r="F211" s="5" t="s">
        <v>15</v>
      </c>
      <c r="G211" s="5" t="s">
        <v>806</v>
      </c>
      <c r="H211" s="5" t="s">
        <v>15</v>
      </c>
      <c r="I211" s="6" t="s">
        <v>807</v>
      </c>
      <c r="J211" s="5" t="s">
        <v>514</v>
      </c>
    </row>
    <row r="212" customFormat="false" ht="34.5" hidden="false" customHeight="true" outlineLevel="0" collapsed="false">
      <c r="A212" s="5" t="n">
        <v>211</v>
      </c>
      <c r="B212" s="6" t="s">
        <v>808</v>
      </c>
      <c r="C212" s="5" t="s">
        <v>809</v>
      </c>
      <c r="D212" s="6" t="s">
        <v>183</v>
      </c>
      <c r="E212" s="5" t="s">
        <v>290</v>
      </c>
      <c r="F212" s="5" t="s">
        <v>810</v>
      </c>
      <c r="G212" s="5" t="s">
        <v>781</v>
      </c>
      <c r="H212" s="5" t="s">
        <v>15</v>
      </c>
      <c r="I212" s="6" t="s">
        <v>811</v>
      </c>
      <c r="J212" s="5" t="s">
        <v>514</v>
      </c>
    </row>
    <row r="213" customFormat="false" ht="23.25" hidden="false" customHeight="true" outlineLevel="0" collapsed="false">
      <c r="A213" s="5" t="n">
        <v>212</v>
      </c>
      <c r="B213" s="6" t="s">
        <v>812</v>
      </c>
      <c r="C213" s="5" t="s">
        <v>813</v>
      </c>
      <c r="D213" s="6" t="s">
        <v>183</v>
      </c>
      <c r="E213" s="5" t="s">
        <v>814</v>
      </c>
      <c r="F213" s="5" t="s">
        <v>815</v>
      </c>
      <c r="G213" s="5" t="s">
        <v>816</v>
      </c>
      <c r="H213" s="5" t="s">
        <v>15</v>
      </c>
      <c r="I213" s="6" t="s">
        <v>817</v>
      </c>
      <c r="J213" s="5" t="s">
        <v>514</v>
      </c>
    </row>
    <row r="214" customFormat="false" ht="45.75" hidden="false" customHeight="true" outlineLevel="0" collapsed="false">
      <c r="A214" s="5" t="n">
        <v>213</v>
      </c>
      <c r="B214" s="6" t="s">
        <v>818</v>
      </c>
      <c r="C214" s="5" t="s">
        <v>819</v>
      </c>
      <c r="D214" s="6" t="s">
        <v>183</v>
      </c>
      <c r="E214" s="5" t="s">
        <v>459</v>
      </c>
      <c r="F214" s="5" t="s">
        <v>15</v>
      </c>
      <c r="G214" s="5" t="s">
        <v>820</v>
      </c>
      <c r="H214" s="5" t="s">
        <v>15</v>
      </c>
      <c r="I214" s="6" t="s">
        <v>821</v>
      </c>
      <c r="J214" s="5" t="s">
        <v>514</v>
      </c>
    </row>
    <row r="215" customFormat="false" ht="15" hidden="false" customHeight="true" outlineLevel="0" collapsed="false">
      <c r="A215" s="5" t="n">
        <v>214</v>
      </c>
      <c r="B215" s="6" t="s">
        <v>822</v>
      </c>
      <c r="C215" s="5" t="s">
        <v>823</v>
      </c>
      <c r="D215" s="6" t="s">
        <v>183</v>
      </c>
      <c r="E215" s="5" t="s">
        <v>15</v>
      </c>
      <c r="F215" s="5" t="s">
        <v>15</v>
      </c>
      <c r="G215" s="5" t="s">
        <v>824</v>
      </c>
      <c r="H215" s="5" t="s">
        <v>15</v>
      </c>
      <c r="I215" s="6" t="s">
        <v>825</v>
      </c>
      <c r="J215" s="5" t="s">
        <v>514</v>
      </c>
    </row>
    <row r="216" customFormat="false" ht="15" hidden="false" customHeight="true" outlineLevel="0" collapsed="false">
      <c r="A216" s="5" t="n">
        <v>215</v>
      </c>
      <c r="B216" s="6" t="s">
        <v>826</v>
      </c>
      <c r="C216" s="5" t="s">
        <v>827</v>
      </c>
      <c r="D216" s="6" t="s">
        <v>183</v>
      </c>
      <c r="E216" s="5" t="s">
        <v>15</v>
      </c>
      <c r="F216" s="5" t="s">
        <v>15</v>
      </c>
      <c r="G216" s="5" t="s">
        <v>828</v>
      </c>
      <c r="H216" s="5" t="s">
        <v>15</v>
      </c>
      <c r="I216" s="6" t="s">
        <v>829</v>
      </c>
      <c r="J216" s="5" t="s">
        <v>514</v>
      </c>
    </row>
    <row r="217" customFormat="false" ht="45.75" hidden="false" customHeight="true" outlineLevel="0" collapsed="false">
      <c r="A217" s="5" t="n">
        <v>216</v>
      </c>
      <c r="B217" s="6" t="s">
        <v>830</v>
      </c>
      <c r="C217" s="5" t="s">
        <v>831</v>
      </c>
      <c r="D217" s="6" t="s">
        <v>183</v>
      </c>
      <c r="E217" s="5" t="s">
        <v>290</v>
      </c>
      <c r="F217" s="5" t="s">
        <v>15</v>
      </c>
      <c r="G217" s="5" t="s">
        <v>781</v>
      </c>
      <c r="H217" s="5" t="s">
        <v>15</v>
      </c>
      <c r="I217" s="6" t="s">
        <v>832</v>
      </c>
      <c r="J217" s="5" t="s">
        <v>514</v>
      </c>
    </row>
    <row r="218" customFormat="false" ht="57" hidden="false" customHeight="true" outlineLevel="0" collapsed="false">
      <c r="A218" s="5" t="n">
        <v>217</v>
      </c>
      <c r="B218" s="6" t="s">
        <v>833</v>
      </c>
      <c r="C218" s="5" t="s">
        <v>834</v>
      </c>
      <c r="D218" s="6" t="s">
        <v>183</v>
      </c>
      <c r="E218" s="5" t="s">
        <v>15</v>
      </c>
      <c r="F218" s="5" t="s">
        <v>15</v>
      </c>
      <c r="G218" s="5" t="s">
        <v>835</v>
      </c>
      <c r="H218" s="5" t="s">
        <v>15</v>
      </c>
      <c r="I218" s="6" t="s">
        <v>836</v>
      </c>
      <c r="J218" s="5" t="s">
        <v>514</v>
      </c>
    </row>
    <row r="219" customFormat="false" ht="45.75" hidden="false" customHeight="true" outlineLevel="0" collapsed="false">
      <c r="A219" s="5" t="n">
        <v>218</v>
      </c>
      <c r="B219" s="6" t="s">
        <v>837</v>
      </c>
      <c r="C219" s="5" t="s">
        <v>838</v>
      </c>
      <c r="D219" s="6" t="s">
        <v>183</v>
      </c>
      <c r="E219" s="5" t="s">
        <v>839</v>
      </c>
      <c r="F219" s="5" t="s">
        <v>840</v>
      </c>
      <c r="G219" s="5" t="s">
        <v>15</v>
      </c>
      <c r="H219" s="5" t="s">
        <v>15</v>
      </c>
      <c r="I219" s="6" t="s">
        <v>841</v>
      </c>
      <c r="J219" s="5" t="s">
        <v>514</v>
      </c>
    </row>
    <row r="220" customFormat="false" ht="15" hidden="false" customHeight="true" outlineLevel="0" collapsed="false">
      <c r="A220" s="5" t="n">
        <v>219</v>
      </c>
      <c r="B220" s="6" t="s">
        <v>842</v>
      </c>
      <c r="C220" s="5" t="s">
        <v>843</v>
      </c>
      <c r="D220" s="6" t="s">
        <v>183</v>
      </c>
      <c r="E220" s="5" t="s">
        <v>15</v>
      </c>
      <c r="F220" s="5" t="s">
        <v>15</v>
      </c>
      <c r="G220" s="5" t="s">
        <v>844</v>
      </c>
      <c r="H220" s="5" t="s">
        <v>15</v>
      </c>
      <c r="I220" s="6" t="s">
        <v>845</v>
      </c>
      <c r="J220" s="5" t="s">
        <v>514</v>
      </c>
    </row>
    <row r="221" customFormat="false" ht="34.5" hidden="false" customHeight="true" outlineLevel="0" collapsed="false">
      <c r="A221" s="5" t="n">
        <v>220</v>
      </c>
      <c r="B221" s="6" t="s">
        <v>846</v>
      </c>
      <c r="C221" s="5" t="s">
        <v>847</v>
      </c>
      <c r="D221" s="6" t="s">
        <v>183</v>
      </c>
      <c r="E221" s="5" t="s">
        <v>290</v>
      </c>
      <c r="F221" s="5" t="s">
        <v>848</v>
      </c>
      <c r="G221" s="5" t="s">
        <v>849</v>
      </c>
      <c r="H221" s="5" t="s">
        <v>15</v>
      </c>
      <c r="I221" s="6" t="s">
        <v>850</v>
      </c>
      <c r="J221" s="5" t="s">
        <v>514</v>
      </c>
    </row>
    <row r="222" customFormat="false" ht="15" hidden="false" customHeight="true" outlineLevel="0" collapsed="false">
      <c r="A222" s="5" t="n">
        <v>221</v>
      </c>
      <c r="B222" s="6" t="s">
        <v>851</v>
      </c>
      <c r="C222" s="5" t="s">
        <v>852</v>
      </c>
      <c r="D222" s="6" t="s">
        <v>183</v>
      </c>
      <c r="E222" s="5" t="s">
        <v>15</v>
      </c>
      <c r="F222" s="5" t="s">
        <v>15</v>
      </c>
      <c r="G222" s="5" t="s">
        <v>853</v>
      </c>
      <c r="H222" s="5" t="s">
        <v>15</v>
      </c>
      <c r="I222" s="6" t="s">
        <v>854</v>
      </c>
      <c r="J222" s="5" t="s">
        <v>514</v>
      </c>
    </row>
    <row r="223" customFormat="false" ht="57" hidden="false" customHeight="true" outlineLevel="0" collapsed="false">
      <c r="A223" s="5" t="n">
        <v>222</v>
      </c>
      <c r="B223" s="6" t="s">
        <v>855</v>
      </c>
      <c r="C223" s="5" t="s">
        <v>856</v>
      </c>
      <c r="D223" s="6" t="s">
        <v>183</v>
      </c>
      <c r="E223" s="5" t="s">
        <v>15</v>
      </c>
      <c r="F223" s="5" t="s">
        <v>15</v>
      </c>
      <c r="G223" s="5" t="s">
        <v>857</v>
      </c>
      <c r="H223" s="5" t="s">
        <v>15</v>
      </c>
      <c r="I223" s="6" t="s">
        <v>858</v>
      </c>
      <c r="J223" s="5" t="s">
        <v>514</v>
      </c>
    </row>
    <row r="224" customFormat="false" ht="23.25" hidden="false" customHeight="true" outlineLevel="0" collapsed="false">
      <c r="A224" s="5" t="n">
        <v>223</v>
      </c>
      <c r="B224" s="6" t="s">
        <v>859</v>
      </c>
      <c r="C224" s="5" t="s">
        <v>860</v>
      </c>
      <c r="D224" s="6" t="s">
        <v>183</v>
      </c>
      <c r="E224" s="5" t="s">
        <v>15</v>
      </c>
      <c r="F224" s="5" t="s">
        <v>861</v>
      </c>
      <c r="G224" s="5" t="s">
        <v>862</v>
      </c>
      <c r="H224" s="5" t="s">
        <v>15</v>
      </c>
      <c r="I224" s="6" t="s">
        <v>863</v>
      </c>
      <c r="J224" s="5" t="s">
        <v>514</v>
      </c>
    </row>
    <row r="225" customFormat="false" ht="57" hidden="false" customHeight="true" outlineLevel="0" collapsed="false">
      <c r="A225" s="5" t="n">
        <v>224</v>
      </c>
      <c r="B225" s="6" t="s">
        <v>864</v>
      </c>
      <c r="C225" s="5" t="s">
        <v>865</v>
      </c>
      <c r="D225" s="6" t="s">
        <v>183</v>
      </c>
      <c r="E225" s="5" t="s">
        <v>15</v>
      </c>
      <c r="F225" s="5" t="s">
        <v>15</v>
      </c>
      <c r="G225" s="5" t="s">
        <v>866</v>
      </c>
      <c r="H225" s="5" t="s">
        <v>15</v>
      </c>
      <c r="I225" s="6" t="s">
        <v>867</v>
      </c>
      <c r="J225" s="5" t="s">
        <v>514</v>
      </c>
    </row>
    <row r="226" customFormat="false" ht="45.75" hidden="false" customHeight="true" outlineLevel="0" collapsed="false">
      <c r="A226" s="5" t="n">
        <v>225</v>
      </c>
      <c r="B226" s="6" t="s">
        <v>868</v>
      </c>
      <c r="C226" s="5" t="s">
        <v>869</v>
      </c>
      <c r="D226" s="6" t="s">
        <v>183</v>
      </c>
      <c r="E226" s="5" t="s">
        <v>290</v>
      </c>
      <c r="F226" s="5" t="s">
        <v>15</v>
      </c>
      <c r="G226" s="5" t="s">
        <v>781</v>
      </c>
      <c r="H226" s="5" t="s">
        <v>15</v>
      </c>
      <c r="I226" s="6" t="s">
        <v>870</v>
      </c>
      <c r="J226" s="5" t="s">
        <v>514</v>
      </c>
    </row>
    <row r="227" customFormat="false" ht="45.75" hidden="false" customHeight="true" outlineLevel="0" collapsed="false">
      <c r="A227" s="5" t="n">
        <v>226</v>
      </c>
      <c r="B227" s="6" t="s">
        <v>871</v>
      </c>
      <c r="C227" s="5" t="s">
        <v>872</v>
      </c>
      <c r="D227" s="6" t="s">
        <v>183</v>
      </c>
      <c r="E227" s="5" t="s">
        <v>290</v>
      </c>
      <c r="F227" s="5" t="s">
        <v>15</v>
      </c>
      <c r="G227" s="5" t="s">
        <v>781</v>
      </c>
      <c r="H227" s="5" t="s">
        <v>15</v>
      </c>
      <c r="I227" s="6" t="s">
        <v>873</v>
      </c>
      <c r="J227" s="5" t="s">
        <v>514</v>
      </c>
    </row>
    <row r="228" customFormat="false" ht="45.75" hidden="false" customHeight="true" outlineLevel="0" collapsed="false">
      <c r="A228" s="5" t="n">
        <v>227</v>
      </c>
      <c r="B228" s="6" t="s">
        <v>874</v>
      </c>
      <c r="C228" s="5" t="s">
        <v>875</v>
      </c>
      <c r="D228" s="6" t="s">
        <v>183</v>
      </c>
      <c r="E228" s="5" t="s">
        <v>290</v>
      </c>
      <c r="F228" s="5" t="s">
        <v>15</v>
      </c>
      <c r="G228" s="5" t="s">
        <v>781</v>
      </c>
      <c r="H228" s="5" t="s">
        <v>15</v>
      </c>
      <c r="I228" s="6" t="s">
        <v>876</v>
      </c>
      <c r="J228" s="5" t="s">
        <v>514</v>
      </c>
    </row>
    <row r="229" customFormat="false" ht="45.75" hidden="false" customHeight="true" outlineLevel="0" collapsed="false">
      <c r="A229" s="5" t="n">
        <v>228</v>
      </c>
      <c r="B229" s="6" t="s">
        <v>877</v>
      </c>
      <c r="C229" s="5" t="s">
        <v>878</v>
      </c>
      <c r="D229" s="6" t="s">
        <v>183</v>
      </c>
      <c r="E229" s="5" t="s">
        <v>459</v>
      </c>
      <c r="F229" s="5" t="s">
        <v>15</v>
      </c>
      <c r="G229" s="5" t="s">
        <v>879</v>
      </c>
      <c r="H229" s="5" t="s">
        <v>15</v>
      </c>
      <c r="I229" s="6" t="s">
        <v>880</v>
      </c>
      <c r="J229" s="5" t="s">
        <v>514</v>
      </c>
    </row>
    <row r="230" customFormat="false" ht="23.25" hidden="false" customHeight="true" outlineLevel="0" collapsed="false">
      <c r="A230" s="5" t="n">
        <v>229</v>
      </c>
      <c r="B230" s="6" t="s">
        <v>881</v>
      </c>
      <c r="C230" s="5" t="s">
        <v>882</v>
      </c>
      <c r="D230" s="6" t="s">
        <v>183</v>
      </c>
      <c r="E230" s="5" t="s">
        <v>15</v>
      </c>
      <c r="F230" s="5" t="s">
        <v>15</v>
      </c>
      <c r="G230" s="5" t="s">
        <v>798</v>
      </c>
      <c r="H230" s="5" t="s">
        <v>15</v>
      </c>
      <c r="I230" s="6" t="s">
        <v>789</v>
      </c>
      <c r="J230" s="5" t="s">
        <v>514</v>
      </c>
    </row>
    <row r="231" customFormat="false" ht="23.25" hidden="false" customHeight="true" outlineLevel="0" collapsed="false">
      <c r="A231" s="5" t="n">
        <v>230</v>
      </c>
      <c r="B231" s="6" t="s">
        <v>883</v>
      </c>
      <c r="C231" s="5" t="s">
        <v>884</v>
      </c>
      <c r="D231" s="6" t="s">
        <v>183</v>
      </c>
      <c r="E231" s="5" t="s">
        <v>15</v>
      </c>
      <c r="F231" s="5" t="s">
        <v>15</v>
      </c>
      <c r="G231" s="5" t="s">
        <v>798</v>
      </c>
      <c r="H231" s="5" t="s">
        <v>15</v>
      </c>
      <c r="I231" s="6" t="s">
        <v>789</v>
      </c>
      <c r="J231" s="5" t="s">
        <v>514</v>
      </c>
    </row>
    <row r="232" customFormat="false" ht="34.5" hidden="false" customHeight="true" outlineLevel="0" collapsed="false">
      <c r="A232" s="5" t="n">
        <v>231</v>
      </c>
      <c r="B232" s="6" t="s">
        <v>885</v>
      </c>
      <c r="C232" s="5" t="s">
        <v>886</v>
      </c>
      <c r="D232" s="6" t="s">
        <v>183</v>
      </c>
      <c r="E232" s="5" t="s">
        <v>459</v>
      </c>
      <c r="F232" s="5" t="s">
        <v>887</v>
      </c>
      <c r="G232" s="5" t="s">
        <v>888</v>
      </c>
      <c r="H232" s="5" t="s">
        <v>15</v>
      </c>
      <c r="I232" s="6" t="s">
        <v>889</v>
      </c>
      <c r="J232" s="5" t="s">
        <v>514</v>
      </c>
    </row>
    <row r="233" customFormat="false" ht="34.5" hidden="false" customHeight="true" outlineLevel="0" collapsed="false">
      <c r="A233" s="5" t="n">
        <v>232</v>
      </c>
      <c r="B233" s="6" t="s">
        <v>890</v>
      </c>
      <c r="C233" s="5" t="s">
        <v>891</v>
      </c>
      <c r="D233" s="6" t="s">
        <v>183</v>
      </c>
      <c r="E233" s="5" t="s">
        <v>459</v>
      </c>
      <c r="F233" s="5" t="s">
        <v>892</v>
      </c>
      <c r="G233" s="5" t="s">
        <v>893</v>
      </c>
      <c r="H233" s="5" t="s">
        <v>15</v>
      </c>
      <c r="I233" s="6" t="s">
        <v>894</v>
      </c>
      <c r="J233" s="5" t="s">
        <v>514</v>
      </c>
    </row>
    <row r="234" customFormat="false" ht="34.5" hidden="false" customHeight="true" outlineLevel="0" collapsed="false">
      <c r="A234" s="5" t="n">
        <v>233</v>
      </c>
      <c r="B234" s="6" t="s">
        <v>895</v>
      </c>
      <c r="C234" s="5" t="s">
        <v>896</v>
      </c>
      <c r="D234" s="6" t="s">
        <v>183</v>
      </c>
      <c r="E234" s="5" t="s">
        <v>290</v>
      </c>
      <c r="F234" s="5" t="s">
        <v>897</v>
      </c>
      <c r="G234" s="5" t="s">
        <v>448</v>
      </c>
      <c r="H234" s="5" t="s">
        <v>15</v>
      </c>
      <c r="I234" s="6" t="s">
        <v>898</v>
      </c>
      <c r="J234" s="5" t="s">
        <v>514</v>
      </c>
    </row>
    <row r="235" customFormat="false" ht="34.5" hidden="false" customHeight="true" outlineLevel="0" collapsed="false">
      <c r="A235" s="5" t="n">
        <v>234</v>
      </c>
      <c r="B235" s="6" t="s">
        <v>899</v>
      </c>
      <c r="C235" s="5" t="s">
        <v>900</v>
      </c>
      <c r="D235" s="6" t="s">
        <v>183</v>
      </c>
      <c r="E235" s="5" t="s">
        <v>15</v>
      </c>
      <c r="F235" s="5" t="s">
        <v>15</v>
      </c>
      <c r="G235" s="5" t="s">
        <v>901</v>
      </c>
      <c r="H235" s="5" t="s">
        <v>15</v>
      </c>
      <c r="I235" s="6" t="s">
        <v>902</v>
      </c>
      <c r="J235" s="5" t="s">
        <v>514</v>
      </c>
    </row>
    <row r="236" customFormat="false" ht="45.75" hidden="false" customHeight="true" outlineLevel="0" collapsed="false">
      <c r="A236" s="5" t="n">
        <v>235</v>
      </c>
      <c r="B236" s="6" t="s">
        <v>903</v>
      </c>
      <c r="C236" s="5" t="s">
        <v>904</v>
      </c>
      <c r="D236" s="6" t="s">
        <v>183</v>
      </c>
      <c r="E236" s="5" t="s">
        <v>290</v>
      </c>
      <c r="F236" s="5" t="s">
        <v>905</v>
      </c>
      <c r="G236" s="5" t="s">
        <v>448</v>
      </c>
      <c r="H236" s="5" t="s">
        <v>15</v>
      </c>
      <c r="I236" s="6" t="s">
        <v>906</v>
      </c>
      <c r="J236" s="5" t="s">
        <v>514</v>
      </c>
    </row>
    <row r="237" customFormat="false" ht="45.75" hidden="false" customHeight="true" outlineLevel="0" collapsed="false">
      <c r="A237" s="5" t="n">
        <v>236</v>
      </c>
      <c r="B237" s="6" t="s">
        <v>907</v>
      </c>
      <c r="C237" s="5" t="s">
        <v>908</v>
      </c>
      <c r="D237" s="6" t="s">
        <v>183</v>
      </c>
      <c r="E237" s="5" t="s">
        <v>290</v>
      </c>
      <c r="F237" s="5" t="s">
        <v>15</v>
      </c>
      <c r="G237" s="5" t="s">
        <v>781</v>
      </c>
      <c r="H237" s="5" t="s">
        <v>15</v>
      </c>
      <c r="I237" s="6" t="s">
        <v>909</v>
      </c>
      <c r="J237" s="5" t="s">
        <v>514</v>
      </c>
    </row>
    <row r="238" customFormat="false" ht="57" hidden="false" customHeight="true" outlineLevel="0" collapsed="false">
      <c r="A238" s="5" t="n">
        <v>237</v>
      </c>
      <c r="B238" s="6" t="s">
        <v>910</v>
      </c>
      <c r="C238" s="5" t="s">
        <v>911</v>
      </c>
      <c r="D238" s="6" t="s">
        <v>183</v>
      </c>
      <c r="E238" s="5" t="s">
        <v>15</v>
      </c>
      <c r="F238" s="5" t="s">
        <v>15</v>
      </c>
      <c r="G238" s="5" t="s">
        <v>912</v>
      </c>
      <c r="H238" s="5" t="s">
        <v>15</v>
      </c>
      <c r="I238" s="6" t="s">
        <v>913</v>
      </c>
      <c r="J238" s="5" t="s">
        <v>514</v>
      </c>
    </row>
    <row r="239" customFormat="false" ht="23.25" hidden="false" customHeight="true" outlineLevel="0" collapsed="false">
      <c r="A239" s="5" t="n">
        <v>238</v>
      </c>
      <c r="B239" s="6" t="s">
        <v>914</v>
      </c>
      <c r="C239" s="5" t="s">
        <v>915</v>
      </c>
      <c r="D239" s="6" t="s">
        <v>183</v>
      </c>
      <c r="E239" s="5" t="s">
        <v>814</v>
      </c>
      <c r="F239" s="5" t="s">
        <v>15</v>
      </c>
      <c r="G239" s="5" t="s">
        <v>916</v>
      </c>
      <c r="H239" s="5" t="s">
        <v>15</v>
      </c>
      <c r="I239" s="6" t="s">
        <v>917</v>
      </c>
      <c r="J239" s="5" t="s">
        <v>514</v>
      </c>
    </row>
    <row r="240" customFormat="false" ht="34.5" hidden="false" customHeight="true" outlineLevel="0" collapsed="false">
      <c r="A240" s="5" t="n">
        <v>239</v>
      </c>
      <c r="B240" s="6" t="s">
        <v>918</v>
      </c>
      <c r="C240" s="5" t="s">
        <v>919</v>
      </c>
      <c r="D240" s="6" t="s">
        <v>183</v>
      </c>
      <c r="E240" s="5" t="s">
        <v>15</v>
      </c>
      <c r="F240" s="5" t="s">
        <v>15</v>
      </c>
      <c r="G240" s="5" t="s">
        <v>920</v>
      </c>
      <c r="H240" s="5" t="s">
        <v>15</v>
      </c>
      <c r="I240" s="6" t="s">
        <v>921</v>
      </c>
      <c r="J240" s="5" t="s">
        <v>514</v>
      </c>
    </row>
    <row r="241" customFormat="false" ht="34.5" hidden="false" customHeight="true" outlineLevel="0" collapsed="false">
      <c r="A241" s="5" t="n">
        <v>240</v>
      </c>
      <c r="B241" s="6" t="s">
        <v>922</v>
      </c>
      <c r="C241" s="5" t="s">
        <v>923</v>
      </c>
      <c r="D241" s="6" t="s">
        <v>183</v>
      </c>
      <c r="E241" s="5" t="s">
        <v>290</v>
      </c>
      <c r="F241" s="5" t="s">
        <v>924</v>
      </c>
      <c r="G241" s="5" t="s">
        <v>448</v>
      </c>
      <c r="H241" s="5" t="s">
        <v>15</v>
      </c>
      <c r="I241" s="6" t="s">
        <v>925</v>
      </c>
      <c r="J241" s="5" t="s">
        <v>514</v>
      </c>
    </row>
    <row r="242" customFormat="false" ht="57" hidden="false" customHeight="true" outlineLevel="0" collapsed="false">
      <c r="A242" s="5" t="n">
        <v>241</v>
      </c>
      <c r="B242" s="6" t="s">
        <v>926</v>
      </c>
      <c r="C242" s="5" t="s">
        <v>927</v>
      </c>
      <c r="D242" s="6" t="s">
        <v>183</v>
      </c>
      <c r="E242" s="5" t="s">
        <v>15</v>
      </c>
      <c r="F242" s="5" t="s">
        <v>15</v>
      </c>
      <c r="G242" s="5" t="s">
        <v>928</v>
      </c>
      <c r="H242" s="5" t="s">
        <v>15</v>
      </c>
      <c r="I242" s="6" t="s">
        <v>929</v>
      </c>
      <c r="J242" s="5" t="s">
        <v>514</v>
      </c>
    </row>
    <row r="243" customFormat="false" ht="23.25" hidden="false" customHeight="true" outlineLevel="0" collapsed="false">
      <c r="A243" s="5" t="n">
        <v>242</v>
      </c>
      <c r="B243" s="6" t="s">
        <v>930</v>
      </c>
      <c r="C243" s="5" t="s">
        <v>931</v>
      </c>
      <c r="D243" s="6" t="s">
        <v>183</v>
      </c>
      <c r="E243" s="5" t="s">
        <v>15</v>
      </c>
      <c r="F243" s="5" t="s">
        <v>15</v>
      </c>
      <c r="G243" s="5" t="s">
        <v>788</v>
      </c>
      <c r="H243" s="5" t="s">
        <v>15</v>
      </c>
      <c r="I243" s="6" t="s">
        <v>789</v>
      </c>
      <c r="J243" s="5" t="s">
        <v>514</v>
      </c>
    </row>
    <row r="244" customFormat="false" ht="15" hidden="false" customHeight="true" outlineLevel="0" collapsed="false">
      <c r="A244" s="5" t="n">
        <v>243</v>
      </c>
      <c r="B244" s="6" t="s">
        <v>932</v>
      </c>
      <c r="C244" s="5" t="s">
        <v>933</v>
      </c>
      <c r="D244" s="6" t="s">
        <v>183</v>
      </c>
      <c r="E244" s="5" t="s">
        <v>15</v>
      </c>
      <c r="F244" s="5" t="s">
        <v>15</v>
      </c>
      <c r="G244" s="5" t="s">
        <v>934</v>
      </c>
      <c r="H244" s="5" t="s">
        <v>15</v>
      </c>
      <c r="I244" s="6" t="s">
        <v>935</v>
      </c>
      <c r="J244" s="5" t="s">
        <v>514</v>
      </c>
    </row>
    <row r="245" customFormat="false" ht="23.25" hidden="false" customHeight="true" outlineLevel="0" collapsed="false">
      <c r="A245" s="5" t="n">
        <v>244</v>
      </c>
      <c r="B245" s="6" t="s">
        <v>936</v>
      </c>
      <c r="C245" s="5" t="s">
        <v>937</v>
      </c>
      <c r="D245" s="6" t="s">
        <v>487</v>
      </c>
      <c r="E245" s="5" t="s">
        <v>147</v>
      </c>
      <c r="F245" s="5" t="s">
        <v>938</v>
      </c>
      <c r="G245" s="5" t="s">
        <v>15</v>
      </c>
      <c r="H245" s="5" t="s">
        <v>15</v>
      </c>
      <c r="I245" s="6" t="s">
        <v>939</v>
      </c>
      <c r="J245" s="5" t="s">
        <v>514</v>
      </c>
    </row>
    <row r="246" customFormat="false" ht="57" hidden="false" customHeight="true" outlineLevel="0" collapsed="false">
      <c r="A246" s="5" t="n">
        <v>245</v>
      </c>
      <c r="B246" s="6" t="s">
        <v>940</v>
      </c>
      <c r="C246" s="5" t="s">
        <v>941</v>
      </c>
      <c r="D246" s="6" t="s">
        <v>487</v>
      </c>
      <c r="E246" s="5" t="s">
        <v>942</v>
      </c>
      <c r="F246" s="5" t="s">
        <v>943</v>
      </c>
      <c r="G246" s="5" t="s">
        <v>15</v>
      </c>
      <c r="H246" s="5" t="s">
        <v>15</v>
      </c>
      <c r="I246" s="6" t="s">
        <v>944</v>
      </c>
      <c r="J246" s="5" t="s">
        <v>514</v>
      </c>
    </row>
  </sheetData>
  <autoFilter ref="A1:J2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30"/>
    <col collapsed="false" customWidth="true" hidden="false" outlineLevel="0" max="3" min="3" style="1" width="12"/>
    <col collapsed="false" customWidth="true" hidden="false" outlineLevel="0" max="4" min="4" style="1" width="14"/>
    <col collapsed="false" customWidth="true" hidden="false" outlineLevel="0" max="5" min="5" style="1" width="16"/>
    <col collapsed="false" customWidth="true" hidden="false" outlineLevel="0" max="6" min="6" style="1" width="60"/>
  </cols>
  <sheetData>
    <row r="1" customFormat="false" ht="15" hidden="false" customHeight="true" outlineLevel="0" collapsed="false">
      <c r="A1" s="2" t="s">
        <v>945</v>
      </c>
      <c r="B1" s="2" t="s">
        <v>946</v>
      </c>
      <c r="C1" s="2" t="s">
        <v>947</v>
      </c>
      <c r="D1" s="2" t="s">
        <v>948</v>
      </c>
      <c r="E1" s="2" t="s">
        <v>949</v>
      </c>
      <c r="F1" s="2" t="s">
        <v>950</v>
      </c>
    </row>
    <row r="2" customFormat="false" ht="23.25" hidden="false" customHeight="true" outlineLevel="0" collapsed="false">
      <c r="A2" s="7" t="s">
        <v>12</v>
      </c>
      <c r="B2" s="8" t="s">
        <v>951</v>
      </c>
      <c r="C2" s="8" t="n">
        <f aca="false">SUMPRODUCT((ISNUMBER(SEARCH("معسكر هندسة البيانات",'Master Graduate List'!D2:D246)))*('Master Graduate List'!J2:J246="High"))</f>
        <v>2</v>
      </c>
      <c r="D2" s="8" t="n">
        <f aca="false">SUMPRODUCT((ISNUMBER(SEARCH("معسكر هندسة البيانات",'Master Graduate List'!D2:D246)))*('Master Graduate List'!J2:J246="Medium"))</f>
        <v>0</v>
      </c>
      <c r="E2" s="8" t="n">
        <f aca="false">C2+D2</f>
        <v>2</v>
      </c>
      <c r="F2" s="7" t="s">
        <v>952</v>
      </c>
    </row>
    <row r="3" customFormat="false" ht="23.25" hidden="false" customHeight="true" outlineLevel="0" collapsed="false">
      <c r="A3" s="7" t="s">
        <v>25</v>
      </c>
      <c r="B3" s="8" t="s">
        <v>953</v>
      </c>
      <c r="C3" s="8" t="n">
        <f aca="false">SUMPRODUCT((ISNUMBER(SEARCH("هندسة البيانات",'Master Graduate List'!D2:D246)))*('Master Graduate List'!J2:J246="High"))-C2</f>
        <v>30</v>
      </c>
      <c r="D3" s="8" t="n">
        <f aca="false">SUMPRODUCT((ISNUMBER(SEARCH("هندسة البيانات",'Master Graduate List'!D2:D246)))*('Master Graduate List'!J2:J246="Medium"))-D2</f>
        <v>37</v>
      </c>
      <c r="E3" s="8" t="n">
        <f aca="false">C3+D3</f>
        <v>67</v>
      </c>
      <c r="F3" s="7" t="s">
        <v>954</v>
      </c>
    </row>
    <row r="4" customFormat="false" ht="15" hidden="false" customHeight="true" outlineLevel="0" collapsed="false">
      <c r="A4" s="7" t="s">
        <v>128</v>
      </c>
      <c r="B4" s="8" t="s">
        <v>955</v>
      </c>
      <c r="C4" s="8" t="n">
        <f aca="false">SUMPRODUCT((ISNUMBER(SEARCH("ممارس تعلم الآلة",'Master Graduate List'!D2:D246)))*('Master Graduate List'!J2:J246="High"))</f>
        <v>10</v>
      </c>
      <c r="D4" s="8" t="n">
        <f aca="false">SUMPRODUCT((ISNUMBER(SEARCH("ممارس تعلم الآلة",'Master Graduate List'!D2:D246)))*('Master Graduate List'!J2:J246="Medium"))</f>
        <v>7</v>
      </c>
      <c r="E4" s="8" t="n">
        <f aca="false">C4+D4</f>
        <v>17</v>
      </c>
      <c r="F4" s="7" t="s">
        <v>956</v>
      </c>
    </row>
    <row r="5" customFormat="false" ht="15" hidden="false" customHeight="true" outlineLevel="0" collapsed="false">
      <c r="A5" s="7" t="s">
        <v>173</v>
      </c>
      <c r="B5" s="8" t="s">
        <v>957</v>
      </c>
      <c r="C5" s="8" t="n">
        <f aca="false">SUMPRODUCT((ISNUMBER(SEARCH("التدريب الاحترافي في النماذج اللغوية الكبيرة",'Master Graduate List'!D2:D246)))*('Master Graduate List'!J2:J246="High"))</f>
        <v>3</v>
      </c>
      <c r="D5" s="8" t="n">
        <f aca="false">SUMPRODUCT((ISNUMBER(SEARCH("التدريب الاحترافي في النماذج اللغوية الكبيرة",'Master Graduate List'!D2:D246)))*('Master Graduate List'!J2:J246="Medium"))</f>
        <v>0</v>
      </c>
      <c r="E5" s="8" t="n">
        <f aca="false">C5+D5</f>
        <v>3</v>
      </c>
      <c r="F5" s="7" t="s">
        <v>958</v>
      </c>
    </row>
    <row r="6" customFormat="false" ht="15" hidden="false" customHeight="true" outlineLevel="0" collapsed="false">
      <c r="A6" s="7" t="s">
        <v>183</v>
      </c>
      <c r="B6" s="8" t="s">
        <v>959</v>
      </c>
      <c r="C6" s="8" t="n">
        <f aca="false">SUMPRODUCT((ISNUMBER(SEARCH("معسكر سدايا T5",'Master Graduate List'!D2:D246)))*('Master Graduate List'!J2:J246="High"))</f>
        <v>81</v>
      </c>
      <c r="D6" s="8" t="n">
        <f aca="false">SUMPRODUCT((ISNUMBER(SEARCH("معسكر سدايا T5",'Master Graduate List'!D2:D246)))*('Master Graduate List'!J2:J246="Medium"))</f>
        <v>71</v>
      </c>
      <c r="E6" s="8" t="n">
        <f aca="false">C6+D6</f>
        <v>152</v>
      </c>
      <c r="F6" s="7" t="s">
        <v>960</v>
      </c>
    </row>
    <row r="7" customFormat="false" ht="15" hidden="false" customHeight="true" outlineLevel="0" collapsed="false">
      <c r="A7" s="7" t="s">
        <v>487</v>
      </c>
      <c r="B7" s="8" t="s">
        <v>961</v>
      </c>
      <c r="C7" s="8" t="n">
        <f aca="false">SUMPRODUCT((ISNUMBER(SEARCH("معسكر النماذج اللغوية الكبيرة",'Master Graduate List'!D2:D246)))*('Master Graduate List'!J2:J246="High"))</f>
        <v>5</v>
      </c>
      <c r="D7" s="8" t="n">
        <f aca="false">SUMPRODUCT((ISNUMBER(SEARCH("معسكر النماذج اللغوية الكبيرة",'Master Graduate List'!D2:D246)))*('Master Graduate List'!J2:J246="Medium"))</f>
        <v>2</v>
      </c>
      <c r="E7" s="8" t="n">
        <f aca="false">C7+D7</f>
        <v>7</v>
      </c>
      <c r="F7" s="7" t="s">
        <v>962</v>
      </c>
    </row>
    <row r="8" customFormat="false" ht="23.25" hidden="false" customHeight="true" outlineLevel="0" collapsed="false">
      <c r="A8" s="7" t="s">
        <v>963</v>
      </c>
      <c r="B8" s="8" t="s">
        <v>964</v>
      </c>
      <c r="C8" s="8" t="n">
        <f aca="false">SUMPRODUCT((ISNUMBER(SEARCH("شهادة مصغرة في علم البيانات",'Master Graduate List'!D2:D246)))*('Master Graduate List'!J2:J246="High"))</f>
        <v>0</v>
      </c>
      <c r="D8" s="8" t="n">
        <f aca="false">SUMPRODUCT((ISNUMBER(SEARCH("شهادة مصغرة في علم البيانات",'Master Graduate List'!D2:D246)))*('Master Graduate List'!J2:J246="Medium"))</f>
        <v>0</v>
      </c>
      <c r="E8" s="8" t="n">
        <f aca="false">C8+D8</f>
        <v>0</v>
      </c>
      <c r="F8" s="7" t="s">
        <v>965</v>
      </c>
    </row>
    <row r="9" customFormat="false" ht="15" hidden="false" customHeight="true" outlineLevel="0" collapsed="false">
      <c r="A9" s="9" t="s">
        <v>966</v>
      </c>
      <c r="E9" s="9" t="n">
        <f aca="false">COUNTA('Master Graduate List'!B2:B246)</f>
        <v>245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4"/>
    <col collapsed="false" customWidth="true" hidden="false" outlineLevel="0" max="3" min="3" style="1" width="32"/>
    <col collapsed="false" customWidth="true" hidden="false" outlineLevel="0" max="4" min="4" style="1" width="70"/>
    <col collapsed="false" customWidth="true" hidden="false" outlineLevel="0" max="5" min="5" style="1" width="45"/>
    <col collapsed="false" customWidth="true" hidden="false" outlineLevel="0" max="6" min="6" style="1" width="26"/>
    <col collapsed="false" customWidth="true" hidden="false" outlineLevel="0" max="7" min="7" style="1" width="12"/>
  </cols>
  <sheetData>
    <row r="1" customFormat="false" ht="15" hidden="false" customHeight="true" outlineLevel="0" collapsed="false">
      <c r="A1" s="2" t="s">
        <v>0</v>
      </c>
      <c r="B1" s="2" t="s">
        <v>967</v>
      </c>
      <c r="C1" s="2" t="s">
        <v>968</v>
      </c>
      <c r="D1" s="2" t="s">
        <v>969</v>
      </c>
      <c r="E1" s="2" t="s">
        <v>970</v>
      </c>
      <c r="F1" s="2" t="s">
        <v>971</v>
      </c>
      <c r="G1" s="2" t="s">
        <v>972</v>
      </c>
    </row>
    <row r="2" customFormat="false" ht="34.5" hidden="false" customHeight="true" outlineLevel="0" collapsed="false">
      <c r="A2" s="8" t="n">
        <v>1</v>
      </c>
      <c r="B2" s="7" t="s">
        <v>10</v>
      </c>
      <c r="C2" s="7" t="s">
        <v>12</v>
      </c>
      <c r="D2" s="7" t="s">
        <v>973</v>
      </c>
      <c r="E2" s="8" t="s">
        <v>974</v>
      </c>
      <c r="F2" s="7" t="s">
        <v>975</v>
      </c>
      <c r="G2" s="8" t="s">
        <v>17</v>
      </c>
    </row>
    <row r="3" customFormat="false" ht="34.5" hidden="false" customHeight="true" outlineLevel="0" collapsed="false">
      <c r="A3" s="8" t="n">
        <v>2</v>
      </c>
      <c r="B3" s="7" t="s">
        <v>18</v>
      </c>
      <c r="C3" s="7" t="s">
        <v>12</v>
      </c>
      <c r="D3" s="7" t="s">
        <v>976</v>
      </c>
      <c r="E3" s="8" t="s">
        <v>977</v>
      </c>
      <c r="F3" s="7" t="s">
        <v>975</v>
      </c>
      <c r="G3" s="8" t="s">
        <v>17</v>
      </c>
    </row>
    <row r="4" customFormat="false" ht="45.75" hidden="false" customHeight="true" outlineLevel="0" collapsed="false">
      <c r="A4" s="8" t="n">
        <v>3</v>
      </c>
      <c r="B4" s="7" t="s">
        <v>23</v>
      </c>
      <c r="C4" s="7" t="s">
        <v>25</v>
      </c>
      <c r="D4" s="7" t="s">
        <v>27</v>
      </c>
      <c r="E4" s="8" t="s">
        <v>26</v>
      </c>
      <c r="F4" s="7" t="s">
        <v>975</v>
      </c>
      <c r="G4" s="8" t="s">
        <v>17</v>
      </c>
    </row>
    <row r="5" customFormat="false" ht="34.5" hidden="false" customHeight="true" outlineLevel="0" collapsed="false">
      <c r="A5" s="8" t="n">
        <v>4</v>
      </c>
      <c r="B5" s="7" t="s">
        <v>28</v>
      </c>
      <c r="C5" s="7" t="s">
        <v>25</v>
      </c>
      <c r="D5" s="7" t="s">
        <v>978</v>
      </c>
      <c r="E5" s="8" t="s">
        <v>979</v>
      </c>
      <c r="F5" s="7" t="s">
        <v>975</v>
      </c>
      <c r="G5" s="8" t="s">
        <v>17</v>
      </c>
    </row>
    <row r="6" customFormat="false" ht="45.75" hidden="false" customHeight="true" outlineLevel="0" collapsed="false">
      <c r="A6" s="8" t="n">
        <v>5</v>
      </c>
      <c r="B6" s="7" t="s">
        <v>32</v>
      </c>
      <c r="C6" s="7" t="s">
        <v>25</v>
      </c>
      <c r="D6" s="7" t="s">
        <v>35</v>
      </c>
      <c r="E6" s="8" t="s">
        <v>34</v>
      </c>
      <c r="F6" s="7" t="s">
        <v>975</v>
      </c>
      <c r="G6" s="8" t="s">
        <v>17</v>
      </c>
    </row>
    <row r="7" customFormat="false" ht="57" hidden="false" customHeight="true" outlineLevel="0" collapsed="false">
      <c r="A7" s="8" t="n">
        <v>6</v>
      </c>
      <c r="B7" s="7" t="s">
        <v>36</v>
      </c>
      <c r="C7" s="7" t="s">
        <v>25</v>
      </c>
      <c r="D7" s="7" t="s">
        <v>980</v>
      </c>
      <c r="E7" s="8" t="s">
        <v>38</v>
      </c>
      <c r="F7" s="7" t="s">
        <v>975</v>
      </c>
      <c r="G7" s="8" t="s">
        <v>17</v>
      </c>
    </row>
    <row r="8" customFormat="false" ht="57" hidden="false" customHeight="true" outlineLevel="0" collapsed="false">
      <c r="A8" s="8" t="n">
        <v>7</v>
      </c>
      <c r="B8" s="7" t="s">
        <v>40</v>
      </c>
      <c r="C8" s="7" t="s">
        <v>25</v>
      </c>
      <c r="D8" s="7" t="s">
        <v>980</v>
      </c>
      <c r="E8" s="8" t="s">
        <v>38</v>
      </c>
      <c r="F8" s="7" t="s">
        <v>975</v>
      </c>
      <c r="G8" s="8" t="s">
        <v>17</v>
      </c>
    </row>
    <row r="9" customFormat="false" ht="45.75" hidden="false" customHeight="true" outlineLevel="0" collapsed="false">
      <c r="A9" s="8" t="n">
        <v>8</v>
      </c>
      <c r="B9" s="7" t="s">
        <v>42</v>
      </c>
      <c r="C9" s="7" t="s">
        <v>25</v>
      </c>
      <c r="D9" s="7" t="s">
        <v>981</v>
      </c>
      <c r="E9" s="8" t="s">
        <v>982</v>
      </c>
      <c r="F9" s="7" t="s">
        <v>975</v>
      </c>
      <c r="G9" s="8" t="s">
        <v>17</v>
      </c>
    </row>
    <row r="10" customFormat="false" ht="23.25" hidden="false" customHeight="true" outlineLevel="0" collapsed="false">
      <c r="A10" s="8" t="n">
        <v>9</v>
      </c>
      <c r="B10" s="7" t="s">
        <v>46</v>
      </c>
      <c r="C10" s="7" t="s">
        <v>25</v>
      </c>
      <c r="D10" s="7" t="s">
        <v>983</v>
      </c>
      <c r="E10" s="8" t="s">
        <v>984</v>
      </c>
      <c r="F10" s="7" t="s">
        <v>985</v>
      </c>
      <c r="G10" s="8" t="s">
        <v>17</v>
      </c>
    </row>
    <row r="11" customFormat="false" ht="45.75" hidden="false" customHeight="true" outlineLevel="0" collapsed="false">
      <c r="A11" s="8" t="n">
        <v>10</v>
      </c>
      <c r="B11" s="7" t="s">
        <v>50</v>
      </c>
      <c r="C11" s="7" t="s">
        <v>25</v>
      </c>
      <c r="D11" s="7" t="s">
        <v>53</v>
      </c>
      <c r="E11" s="8" t="s">
        <v>52</v>
      </c>
      <c r="F11" s="7" t="s">
        <v>975</v>
      </c>
      <c r="G11" s="8" t="s">
        <v>17</v>
      </c>
    </row>
    <row r="12" customFormat="false" ht="23.25" hidden="false" customHeight="true" outlineLevel="0" collapsed="false">
      <c r="A12" s="8" t="n">
        <v>11</v>
      </c>
      <c r="B12" s="7" t="s">
        <v>54</v>
      </c>
      <c r="C12" s="7" t="s">
        <v>25</v>
      </c>
      <c r="D12" s="7" t="s">
        <v>986</v>
      </c>
      <c r="E12" s="8" t="s">
        <v>987</v>
      </c>
      <c r="F12" s="7" t="s">
        <v>985</v>
      </c>
      <c r="G12" s="8" t="s">
        <v>17</v>
      </c>
    </row>
    <row r="13" customFormat="false" ht="15" hidden="false" customHeight="true" outlineLevel="0" collapsed="false">
      <c r="A13" s="8" t="n">
        <v>12</v>
      </c>
      <c r="B13" s="7" t="s">
        <v>57</v>
      </c>
      <c r="C13" s="7" t="s">
        <v>25</v>
      </c>
      <c r="D13" s="7" t="s">
        <v>988</v>
      </c>
      <c r="E13" s="8" t="s">
        <v>989</v>
      </c>
      <c r="F13" s="7" t="s">
        <v>985</v>
      </c>
      <c r="G13" s="8" t="s">
        <v>17</v>
      </c>
    </row>
    <row r="14" customFormat="false" ht="45.75" hidden="false" customHeight="true" outlineLevel="0" collapsed="false">
      <c r="A14" s="8" t="n">
        <v>13</v>
      </c>
      <c r="B14" s="7" t="s">
        <v>61</v>
      </c>
      <c r="C14" s="7" t="s">
        <v>25</v>
      </c>
      <c r="D14" s="7" t="s">
        <v>53</v>
      </c>
      <c r="E14" s="8" t="s">
        <v>52</v>
      </c>
      <c r="F14" s="7" t="s">
        <v>975</v>
      </c>
      <c r="G14" s="8" t="s">
        <v>17</v>
      </c>
    </row>
    <row r="15" customFormat="false" ht="23.25" hidden="false" customHeight="true" outlineLevel="0" collapsed="false">
      <c r="A15" s="8" t="n">
        <v>14</v>
      </c>
      <c r="B15" s="7" t="s">
        <v>63</v>
      </c>
      <c r="C15" s="7" t="s">
        <v>25</v>
      </c>
      <c r="D15" s="7" t="s">
        <v>990</v>
      </c>
      <c r="E15" s="8" t="s">
        <v>991</v>
      </c>
      <c r="F15" s="7" t="s">
        <v>985</v>
      </c>
      <c r="G15" s="8" t="s">
        <v>17</v>
      </c>
    </row>
    <row r="16" customFormat="false" ht="57" hidden="false" customHeight="true" outlineLevel="0" collapsed="false">
      <c r="A16" s="8" t="n">
        <v>15</v>
      </c>
      <c r="B16" s="7" t="s">
        <v>67</v>
      </c>
      <c r="C16" s="7" t="s">
        <v>25</v>
      </c>
      <c r="D16" s="7" t="s">
        <v>992</v>
      </c>
      <c r="E16" s="8" t="s">
        <v>69</v>
      </c>
      <c r="F16" s="7" t="s">
        <v>975</v>
      </c>
      <c r="G16" s="8" t="s">
        <v>17</v>
      </c>
    </row>
    <row r="17" customFormat="false" ht="23.25" hidden="false" customHeight="true" outlineLevel="0" collapsed="false">
      <c r="A17" s="8" t="n">
        <v>16</v>
      </c>
      <c r="B17" s="7" t="s">
        <v>71</v>
      </c>
      <c r="C17" s="7" t="s">
        <v>25</v>
      </c>
      <c r="D17" s="7" t="s">
        <v>993</v>
      </c>
      <c r="E17" s="8" t="s">
        <v>987</v>
      </c>
      <c r="F17" s="7" t="s">
        <v>985</v>
      </c>
      <c r="G17" s="8" t="s">
        <v>17</v>
      </c>
    </row>
    <row r="18" customFormat="false" ht="34.5" hidden="false" customHeight="true" outlineLevel="0" collapsed="false">
      <c r="A18" s="8" t="n">
        <v>17</v>
      </c>
      <c r="B18" s="7" t="s">
        <v>75</v>
      </c>
      <c r="C18" s="7" t="s">
        <v>25</v>
      </c>
      <c r="D18" s="7" t="s">
        <v>994</v>
      </c>
      <c r="E18" s="8" t="s">
        <v>995</v>
      </c>
      <c r="F18" s="7" t="s">
        <v>975</v>
      </c>
      <c r="G18" s="8" t="s">
        <v>17</v>
      </c>
    </row>
    <row r="19" customFormat="false" ht="23.25" hidden="false" customHeight="true" outlineLevel="0" collapsed="false">
      <c r="A19" s="8" t="n">
        <v>18</v>
      </c>
      <c r="B19" s="7" t="s">
        <v>80</v>
      </c>
      <c r="C19" s="7" t="s">
        <v>25</v>
      </c>
      <c r="D19" s="7" t="s">
        <v>996</v>
      </c>
      <c r="E19" s="8" t="s">
        <v>997</v>
      </c>
      <c r="F19" s="7" t="s">
        <v>985</v>
      </c>
      <c r="G19" s="8" t="s">
        <v>17</v>
      </c>
    </row>
    <row r="20" customFormat="false" ht="23.25" hidden="false" customHeight="true" outlineLevel="0" collapsed="false">
      <c r="A20" s="8" t="n">
        <v>19</v>
      </c>
      <c r="B20" s="7" t="s">
        <v>84</v>
      </c>
      <c r="C20" s="7" t="s">
        <v>25</v>
      </c>
      <c r="D20" s="7" t="s">
        <v>998</v>
      </c>
      <c r="E20" s="8" t="s">
        <v>989</v>
      </c>
      <c r="F20" s="7" t="s">
        <v>985</v>
      </c>
      <c r="G20" s="8" t="s">
        <v>17</v>
      </c>
    </row>
    <row r="21" customFormat="false" ht="23.25" hidden="false" customHeight="true" outlineLevel="0" collapsed="false">
      <c r="A21" s="8" t="n">
        <v>20</v>
      </c>
      <c r="B21" s="7" t="s">
        <v>88</v>
      </c>
      <c r="C21" s="7" t="s">
        <v>25</v>
      </c>
      <c r="D21" s="7" t="s">
        <v>986</v>
      </c>
      <c r="E21" s="8" t="s">
        <v>987</v>
      </c>
      <c r="F21" s="7" t="s">
        <v>985</v>
      </c>
      <c r="G21" s="8" t="s">
        <v>17</v>
      </c>
    </row>
    <row r="22" customFormat="false" ht="34.5" hidden="false" customHeight="true" outlineLevel="0" collapsed="false">
      <c r="A22" s="8" t="n">
        <v>21</v>
      </c>
      <c r="B22" s="7" t="s">
        <v>90</v>
      </c>
      <c r="C22" s="7" t="s">
        <v>25</v>
      </c>
      <c r="D22" s="7" t="s">
        <v>999</v>
      </c>
      <c r="E22" s="8" t="s">
        <v>1000</v>
      </c>
      <c r="F22" s="7" t="s">
        <v>975</v>
      </c>
      <c r="G22" s="8" t="s">
        <v>17</v>
      </c>
    </row>
    <row r="23" customFormat="false" ht="45.75" hidden="false" customHeight="true" outlineLevel="0" collapsed="false">
      <c r="A23" s="8" t="n">
        <v>22</v>
      </c>
      <c r="B23" s="7" t="s">
        <v>94</v>
      </c>
      <c r="C23" s="7" t="s">
        <v>25</v>
      </c>
      <c r="D23" s="7" t="s">
        <v>53</v>
      </c>
      <c r="E23" s="8" t="s">
        <v>52</v>
      </c>
      <c r="F23" s="7" t="s">
        <v>975</v>
      </c>
      <c r="G23" s="8" t="s">
        <v>17</v>
      </c>
    </row>
    <row r="24" customFormat="false" ht="45.75" hidden="false" customHeight="true" outlineLevel="0" collapsed="false">
      <c r="A24" s="8" t="n">
        <v>23</v>
      </c>
      <c r="B24" s="7" t="s">
        <v>96</v>
      </c>
      <c r="C24" s="7" t="s">
        <v>25</v>
      </c>
      <c r="D24" s="7" t="s">
        <v>99</v>
      </c>
      <c r="E24" s="8" t="s">
        <v>98</v>
      </c>
      <c r="F24" s="7" t="s">
        <v>975</v>
      </c>
      <c r="G24" s="8" t="s">
        <v>17</v>
      </c>
    </row>
    <row r="25" customFormat="false" ht="15" hidden="false" customHeight="true" outlineLevel="0" collapsed="false">
      <c r="A25" s="8" t="n">
        <v>24</v>
      </c>
      <c r="B25" s="7" t="s">
        <v>100</v>
      </c>
      <c r="C25" s="7" t="s">
        <v>25</v>
      </c>
      <c r="D25" s="7" t="s">
        <v>988</v>
      </c>
      <c r="E25" s="8" t="s">
        <v>989</v>
      </c>
      <c r="F25" s="7" t="s">
        <v>985</v>
      </c>
      <c r="G25" s="8" t="s">
        <v>17</v>
      </c>
    </row>
    <row r="26" customFormat="false" ht="15" hidden="false" customHeight="true" outlineLevel="0" collapsed="false">
      <c r="A26" s="8" t="n">
        <v>25</v>
      </c>
      <c r="B26" s="7" t="s">
        <v>103</v>
      </c>
      <c r="C26" s="7" t="s">
        <v>25</v>
      </c>
      <c r="D26" s="7" t="s">
        <v>988</v>
      </c>
      <c r="E26" s="8" t="s">
        <v>989</v>
      </c>
      <c r="F26" s="7" t="s">
        <v>985</v>
      </c>
      <c r="G26" s="8" t="s">
        <v>17</v>
      </c>
    </row>
    <row r="27" customFormat="false" ht="57" hidden="false" customHeight="true" outlineLevel="0" collapsed="false">
      <c r="A27" s="8" t="n">
        <v>26</v>
      </c>
      <c r="B27" s="7" t="s">
        <v>106</v>
      </c>
      <c r="C27" s="7" t="s">
        <v>25</v>
      </c>
      <c r="D27" s="7" t="s">
        <v>992</v>
      </c>
      <c r="E27" s="8" t="s">
        <v>69</v>
      </c>
      <c r="F27" s="7" t="s">
        <v>975</v>
      </c>
      <c r="G27" s="8" t="s">
        <v>17</v>
      </c>
    </row>
    <row r="28" customFormat="false" ht="57" hidden="false" customHeight="true" outlineLevel="0" collapsed="false">
      <c r="A28" s="8" t="n">
        <v>27</v>
      </c>
      <c r="B28" s="7" t="s">
        <v>108</v>
      </c>
      <c r="C28" s="7" t="s">
        <v>25</v>
      </c>
      <c r="D28" s="7" t="s">
        <v>980</v>
      </c>
      <c r="E28" s="8" t="s">
        <v>38</v>
      </c>
      <c r="F28" s="7" t="s">
        <v>975</v>
      </c>
      <c r="G28" s="8" t="s">
        <v>17</v>
      </c>
    </row>
    <row r="29" customFormat="false" ht="23.25" hidden="false" customHeight="true" outlineLevel="0" collapsed="false">
      <c r="A29" s="8" t="n">
        <v>28</v>
      </c>
      <c r="B29" s="7" t="s">
        <v>110</v>
      </c>
      <c r="C29" s="7" t="s">
        <v>25</v>
      </c>
      <c r="D29" s="7" t="s">
        <v>1001</v>
      </c>
      <c r="E29" s="8" t="s">
        <v>1002</v>
      </c>
      <c r="F29" s="7" t="s">
        <v>985</v>
      </c>
      <c r="G29" s="8" t="s">
        <v>17</v>
      </c>
    </row>
    <row r="30" customFormat="false" ht="57" hidden="false" customHeight="true" outlineLevel="0" collapsed="false">
      <c r="A30" s="8" t="n">
        <v>29</v>
      </c>
      <c r="B30" s="7" t="s">
        <v>114</v>
      </c>
      <c r="C30" s="7" t="s">
        <v>25</v>
      </c>
      <c r="D30" s="7" t="s">
        <v>1003</v>
      </c>
      <c r="E30" s="8" t="s">
        <v>1004</v>
      </c>
      <c r="F30" s="7" t="s">
        <v>975</v>
      </c>
      <c r="G30" s="8" t="s">
        <v>17</v>
      </c>
    </row>
    <row r="31" customFormat="false" ht="23.25" hidden="false" customHeight="true" outlineLevel="0" collapsed="false">
      <c r="A31" s="8" t="n">
        <v>30</v>
      </c>
      <c r="B31" s="7" t="s">
        <v>118</v>
      </c>
      <c r="C31" s="7" t="s">
        <v>25</v>
      </c>
      <c r="D31" s="7" t="s">
        <v>986</v>
      </c>
      <c r="E31" s="8" t="s">
        <v>987</v>
      </c>
      <c r="F31" s="7" t="s">
        <v>985</v>
      </c>
      <c r="G31" s="8" t="s">
        <v>17</v>
      </c>
    </row>
    <row r="32" customFormat="false" ht="23.25" hidden="false" customHeight="true" outlineLevel="0" collapsed="false">
      <c r="A32" s="8" t="n">
        <v>31</v>
      </c>
      <c r="B32" s="7" t="s">
        <v>120</v>
      </c>
      <c r="C32" s="7" t="s">
        <v>25</v>
      </c>
      <c r="D32" s="7" t="s">
        <v>986</v>
      </c>
      <c r="E32" s="8" t="s">
        <v>987</v>
      </c>
      <c r="F32" s="7" t="s">
        <v>985</v>
      </c>
      <c r="G32" s="8" t="s">
        <v>17</v>
      </c>
    </row>
    <row r="33" customFormat="false" ht="34.5" hidden="false" customHeight="true" outlineLevel="0" collapsed="false">
      <c r="A33" s="8" t="n">
        <v>32</v>
      </c>
      <c r="B33" s="7" t="s">
        <v>122</v>
      </c>
      <c r="C33" s="7" t="s">
        <v>25</v>
      </c>
      <c r="D33" s="7" t="s">
        <v>1005</v>
      </c>
      <c r="E33" s="8" t="s">
        <v>1006</v>
      </c>
      <c r="F33" s="7" t="s">
        <v>975</v>
      </c>
      <c r="G33" s="8" t="s">
        <v>17</v>
      </c>
    </row>
    <row r="34" customFormat="false" ht="34.5" hidden="false" customHeight="true" outlineLevel="0" collapsed="false">
      <c r="A34" s="8" t="n">
        <v>33</v>
      </c>
      <c r="B34" s="7" t="s">
        <v>126</v>
      </c>
      <c r="C34" s="7" t="s">
        <v>128</v>
      </c>
      <c r="D34" s="7" t="s">
        <v>130</v>
      </c>
      <c r="E34" s="8" t="s">
        <v>129</v>
      </c>
      <c r="F34" s="7" t="s">
        <v>975</v>
      </c>
      <c r="G34" s="8" t="s">
        <v>17</v>
      </c>
    </row>
    <row r="35" customFormat="false" ht="34.5" hidden="false" customHeight="true" outlineLevel="0" collapsed="false">
      <c r="A35" s="8" t="n">
        <v>34</v>
      </c>
      <c r="B35" s="7" t="s">
        <v>131</v>
      </c>
      <c r="C35" s="7" t="s">
        <v>128</v>
      </c>
      <c r="D35" s="7" t="s">
        <v>1007</v>
      </c>
      <c r="E35" s="8" t="s">
        <v>1008</v>
      </c>
      <c r="F35" s="7" t="s">
        <v>975</v>
      </c>
      <c r="G35" s="8" t="s">
        <v>17</v>
      </c>
    </row>
    <row r="36" customFormat="false" ht="23.25" hidden="false" customHeight="true" outlineLevel="0" collapsed="false">
      <c r="A36" s="8" t="n">
        <v>35</v>
      </c>
      <c r="B36" s="7" t="s">
        <v>135</v>
      </c>
      <c r="C36" s="7" t="s">
        <v>128</v>
      </c>
      <c r="D36" s="7" t="s">
        <v>139</v>
      </c>
      <c r="E36" s="8" t="s">
        <v>138</v>
      </c>
      <c r="F36" s="7" t="s">
        <v>985</v>
      </c>
      <c r="G36" s="8" t="s">
        <v>17</v>
      </c>
    </row>
    <row r="37" customFormat="false" ht="45.75" hidden="false" customHeight="true" outlineLevel="0" collapsed="false">
      <c r="A37" s="8" t="n">
        <v>36</v>
      </c>
      <c r="B37" s="7" t="s">
        <v>140</v>
      </c>
      <c r="C37" s="7" t="s">
        <v>142</v>
      </c>
      <c r="D37" s="7" t="s">
        <v>144</v>
      </c>
      <c r="E37" s="8" t="s">
        <v>143</v>
      </c>
      <c r="F37" s="7" t="s">
        <v>985</v>
      </c>
      <c r="G37" s="8" t="s">
        <v>17</v>
      </c>
    </row>
    <row r="38" customFormat="false" ht="23.25" hidden="false" customHeight="true" outlineLevel="0" collapsed="false">
      <c r="A38" s="8" t="n">
        <v>37</v>
      </c>
      <c r="B38" s="7" t="s">
        <v>145</v>
      </c>
      <c r="C38" s="7" t="s">
        <v>128</v>
      </c>
      <c r="D38" s="7" t="s">
        <v>149</v>
      </c>
      <c r="E38" s="8" t="s">
        <v>148</v>
      </c>
      <c r="F38" s="7" t="s">
        <v>1009</v>
      </c>
      <c r="G38" s="8" t="s">
        <v>17</v>
      </c>
    </row>
    <row r="39" customFormat="false" ht="34.5" hidden="false" customHeight="true" outlineLevel="0" collapsed="false">
      <c r="A39" s="8" t="n">
        <v>38</v>
      </c>
      <c r="B39" s="7" t="s">
        <v>150</v>
      </c>
      <c r="C39" s="7" t="s">
        <v>128</v>
      </c>
      <c r="D39" s="7" t="s">
        <v>1010</v>
      </c>
      <c r="E39" s="8" t="s">
        <v>1011</v>
      </c>
      <c r="F39" s="7" t="s">
        <v>975</v>
      </c>
      <c r="G39" s="8" t="s">
        <v>17</v>
      </c>
    </row>
    <row r="40" customFormat="false" ht="34.5" hidden="false" customHeight="true" outlineLevel="0" collapsed="false">
      <c r="A40" s="8" t="n">
        <v>39</v>
      </c>
      <c r="B40" s="7" t="s">
        <v>154</v>
      </c>
      <c r="C40" s="7" t="s">
        <v>128</v>
      </c>
      <c r="D40" s="7" t="s">
        <v>1012</v>
      </c>
      <c r="E40" s="8" t="s">
        <v>1013</v>
      </c>
      <c r="F40" s="7" t="s">
        <v>975</v>
      </c>
      <c r="G40" s="8" t="s">
        <v>17</v>
      </c>
    </row>
    <row r="41" customFormat="false" ht="23.25" hidden="false" customHeight="true" outlineLevel="0" collapsed="false">
      <c r="A41" s="8" t="n">
        <v>40</v>
      </c>
      <c r="B41" s="7" t="s">
        <v>158</v>
      </c>
      <c r="C41" s="7" t="s">
        <v>128</v>
      </c>
      <c r="D41" s="7" t="s">
        <v>1014</v>
      </c>
      <c r="E41" s="8" t="s">
        <v>1015</v>
      </c>
      <c r="F41" s="7" t="s">
        <v>975</v>
      </c>
      <c r="G41" s="8" t="s">
        <v>17</v>
      </c>
    </row>
    <row r="42" customFormat="false" ht="45.75" hidden="false" customHeight="true" outlineLevel="0" collapsed="false">
      <c r="A42" s="8" t="n">
        <v>41</v>
      </c>
      <c r="B42" s="7" t="s">
        <v>162</v>
      </c>
      <c r="C42" s="7" t="s">
        <v>128</v>
      </c>
      <c r="D42" s="7" t="s">
        <v>1016</v>
      </c>
      <c r="E42" s="8" t="s">
        <v>1017</v>
      </c>
      <c r="F42" s="7" t="s">
        <v>975</v>
      </c>
      <c r="G42" s="8" t="s">
        <v>17</v>
      </c>
    </row>
    <row r="43" customFormat="false" ht="34.5" hidden="false" customHeight="true" outlineLevel="0" collapsed="false">
      <c r="A43" s="8" t="n">
        <v>42</v>
      </c>
      <c r="B43" s="7" t="s">
        <v>166</v>
      </c>
      <c r="C43" s="7" t="s">
        <v>168</v>
      </c>
      <c r="D43" s="7" t="s">
        <v>1018</v>
      </c>
      <c r="E43" s="8" t="s">
        <v>1019</v>
      </c>
      <c r="F43" s="7" t="s">
        <v>975</v>
      </c>
      <c r="G43" s="8" t="s">
        <v>17</v>
      </c>
    </row>
    <row r="44" customFormat="false" ht="57" hidden="false" customHeight="true" outlineLevel="0" collapsed="false">
      <c r="A44" s="8" t="n">
        <v>43</v>
      </c>
      <c r="B44" s="7" t="s">
        <v>171</v>
      </c>
      <c r="C44" s="7" t="s">
        <v>173</v>
      </c>
      <c r="D44" s="7" t="s">
        <v>1020</v>
      </c>
      <c r="E44" s="8" t="s">
        <v>1021</v>
      </c>
      <c r="F44" s="7" t="s">
        <v>975</v>
      </c>
      <c r="G44" s="8" t="s">
        <v>17</v>
      </c>
    </row>
    <row r="45" customFormat="false" ht="23.25" hidden="false" customHeight="true" outlineLevel="0" collapsed="false">
      <c r="A45" s="8" t="n">
        <v>44</v>
      </c>
      <c r="B45" s="7" t="s">
        <v>178</v>
      </c>
      <c r="C45" s="7" t="s">
        <v>173</v>
      </c>
      <c r="D45" s="7" t="s">
        <v>181</v>
      </c>
      <c r="E45" s="8" t="s">
        <v>180</v>
      </c>
      <c r="F45" s="7" t="s">
        <v>1009</v>
      </c>
      <c r="G45" s="8" t="s">
        <v>17</v>
      </c>
    </row>
    <row r="46" customFormat="false" ht="34.5" hidden="false" customHeight="true" outlineLevel="0" collapsed="false">
      <c r="A46" s="8" t="n">
        <v>45</v>
      </c>
      <c r="B46" s="7" t="s">
        <v>182</v>
      </c>
      <c r="C46" s="7" t="s">
        <v>183</v>
      </c>
      <c r="D46" s="7" t="s">
        <v>1022</v>
      </c>
      <c r="E46" s="8" t="s">
        <v>1023</v>
      </c>
      <c r="F46" s="7" t="s">
        <v>975</v>
      </c>
      <c r="G46" s="8" t="s">
        <v>17</v>
      </c>
    </row>
    <row r="47" customFormat="false" ht="23.25" hidden="false" customHeight="true" outlineLevel="0" collapsed="false">
      <c r="A47" s="8" t="n">
        <v>46</v>
      </c>
      <c r="B47" s="7" t="s">
        <v>186</v>
      </c>
      <c r="C47" s="7" t="s">
        <v>183</v>
      </c>
      <c r="D47" s="7" t="s">
        <v>1024</v>
      </c>
      <c r="E47" s="8" t="s">
        <v>1025</v>
      </c>
      <c r="F47" s="7" t="s">
        <v>975</v>
      </c>
      <c r="G47" s="8" t="s">
        <v>17</v>
      </c>
    </row>
    <row r="48" customFormat="false" ht="34.5" hidden="false" customHeight="true" outlineLevel="0" collapsed="false">
      <c r="A48" s="8" t="n">
        <v>47</v>
      </c>
      <c r="B48" s="7" t="s">
        <v>189</v>
      </c>
      <c r="C48" s="7" t="s">
        <v>183</v>
      </c>
      <c r="D48" s="7" t="s">
        <v>1026</v>
      </c>
      <c r="E48" s="8" t="s">
        <v>1027</v>
      </c>
      <c r="F48" s="7" t="s">
        <v>975</v>
      </c>
      <c r="G48" s="8" t="s">
        <v>17</v>
      </c>
    </row>
    <row r="49" customFormat="false" ht="23.25" hidden="false" customHeight="true" outlineLevel="0" collapsed="false">
      <c r="A49" s="8" t="n">
        <v>48</v>
      </c>
      <c r="B49" s="7" t="s">
        <v>193</v>
      </c>
      <c r="C49" s="7" t="s">
        <v>183</v>
      </c>
      <c r="D49" s="7" t="s">
        <v>1028</v>
      </c>
      <c r="E49" s="8" t="s">
        <v>1029</v>
      </c>
      <c r="F49" s="7" t="s">
        <v>975</v>
      </c>
      <c r="G49" s="8" t="s">
        <v>17</v>
      </c>
    </row>
    <row r="50" customFormat="false" ht="23.25" hidden="false" customHeight="true" outlineLevel="0" collapsed="false">
      <c r="A50" s="8" t="n">
        <v>49</v>
      </c>
      <c r="B50" s="7" t="s">
        <v>196</v>
      </c>
      <c r="C50" s="7" t="s">
        <v>183</v>
      </c>
      <c r="D50" s="7" t="s">
        <v>1030</v>
      </c>
      <c r="E50" s="8" t="s">
        <v>1031</v>
      </c>
      <c r="F50" s="7" t="s">
        <v>975</v>
      </c>
      <c r="G50" s="8" t="s">
        <v>17</v>
      </c>
    </row>
    <row r="51" customFormat="false" ht="34.5" hidden="false" customHeight="true" outlineLevel="0" collapsed="false">
      <c r="A51" s="8" t="n">
        <v>50</v>
      </c>
      <c r="B51" s="7" t="s">
        <v>200</v>
      </c>
      <c r="C51" s="7" t="s">
        <v>183</v>
      </c>
      <c r="D51" s="7" t="s">
        <v>1032</v>
      </c>
      <c r="E51" s="8" t="s">
        <v>1033</v>
      </c>
      <c r="F51" s="7" t="s">
        <v>975</v>
      </c>
      <c r="G51" s="8" t="s">
        <v>17</v>
      </c>
    </row>
    <row r="52" customFormat="false" ht="34.5" hidden="false" customHeight="true" outlineLevel="0" collapsed="false">
      <c r="A52" s="8" t="n">
        <v>51</v>
      </c>
      <c r="B52" s="7" t="s">
        <v>203</v>
      </c>
      <c r="C52" s="7" t="s">
        <v>183</v>
      </c>
      <c r="D52" s="7" t="s">
        <v>1034</v>
      </c>
      <c r="E52" s="8" t="s">
        <v>1035</v>
      </c>
      <c r="F52" s="7" t="s">
        <v>975</v>
      </c>
      <c r="G52" s="8" t="s">
        <v>17</v>
      </c>
    </row>
    <row r="53" customFormat="false" ht="34.5" hidden="false" customHeight="true" outlineLevel="0" collapsed="false">
      <c r="A53" s="8" t="n">
        <v>52</v>
      </c>
      <c r="B53" s="7" t="s">
        <v>206</v>
      </c>
      <c r="C53" s="7" t="s">
        <v>183</v>
      </c>
      <c r="D53" s="7" t="s">
        <v>1036</v>
      </c>
      <c r="E53" s="8" t="s">
        <v>1037</v>
      </c>
      <c r="F53" s="7" t="s">
        <v>975</v>
      </c>
      <c r="G53" s="8" t="s">
        <v>17</v>
      </c>
    </row>
    <row r="54" customFormat="false" ht="45.75" hidden="false" customHeight="true" outlineLevel="0" collapsed="false">
      <c r="A54" s="8" t="n">
        <v>53</v>
      </c>
      <c r="B54" s="7" t="s">
        <v>209</v>
      </c>
      <c r="C54" s="7" t="s">
        <v>183</v>
      </c>
      <c r="D54" s="7" t="s">
        <v>1038</v>
      </c>
      <c r="E54" s="8" t="s">
        <v>1039</v>
      </c>
      <c r="F54" s="7" t="s">
        <v>975</v>
      </c>
      <c r="G54" s="8" t="s">
        <v>17</v>
      </c>
    </row>
    <row r="55" customFormat="false" ht="34.5" hidden="false" customHeight="true" outlineLevel="0" collapsed="false">
      <c r="A55" s="8" t="n">
        <v>54</v>
      </c>
      <c r="B55" s="7" t="s">
        <v>213</v>
      </c>
      <c r="C55" s="7" t="s">
        <v>183</v>
      </c>
      <c r="D55" s="7" t="s">
        <v>1040</v>
      </c>
      <c r="E55" s="8" t="s">
        <v>1041</v>
      </c>
      <c r="F55" s="7" t="s">
        <v>975</v>
      </c>
      <c r="G55" s="8" t="s">
        <v>17</v>
      </c>
    </row>
    <row r="56" customFormat="false" ht="23.25" hidden="false" customHeight="true" outlineLevel="0" collapsed="false">
      <c r="A56" s="8" t="n">
        <v>55</v>
      </c>
      <c r="B56" s="7" t="s">
        <v>216</v>
      </c>
      <c r="C56" s="7" t="s">
        <v>183</v>
      </c>
      <c r="D56" s="7" t="s">
        <v>1042</v>
      </c>
      <c r="E56" s="8" t="s">
        <v>1043</v>
      </c>
      <c r="F56" s="7" t="s">
        <v>975</v>
      </c>
      <c r="G56" s="8" t="s">
        <v>17</v>
      </c>
    </row>
    <row r="57" customFormat="false" ht="34.5" hidden="false" customHeight="true" outlineLevel="0" collapsed="false">
      <c r="A57" s="8" t="n">
        <v>56</v>
      </c>
      <c r="B57" s="7" t="s">
        <v>220</v>
      </c>
      <c r="C57" s="7" t="s">
        <v>183</v>
      </c>
      <c r="D57" s="7" t="s">
        <v>222</v>
      </c>
      <c r="E57" s="8" t="s">
        <v>221</v>
      </c>
      <c r="F57" s="7" t="s">
        <v>975</v>
      </c>
      <c r="G57" s="8" t="s">
        <v>17</v>
      </c>
    </row>
    <row r="58" customFormat="false" ht="34.5" hidden="false" customHeight="true" outlineLevel="0" collapsed="false">
      <c r="A58" s="8" t="n">
        <v>57</v>
      </c>
      <c r="B58" s="7" t="s">
        <v>223</v>
      </c>
      <c r="C58" s="7" t="s">
        <v>183</v>
      </c>
      <c r="D58" s="7" t="s">
        <v>1044</v>
      </c>
      <c r="E58" s="8" t="s">
        <v>1045</v>
      </c>
      <c r="F58" s="7" t="s">
        <v>975</v>
      </c>
      <c r="G58" s="8" t="s">
        <v>17</v>
      </c>
    </row>
    <row r="59" customFormat="false" ht="45.75" hidden="false" customHeight="true" outlineLevel="0" collapsed="false">
      <c r="A59" s="8" t="n">
        <v>58</v>
      </c>
      <c r="B59" s="7" t="s">
        <v>226</v>
      </c>
      <c r="C59" s="7" t="s">
        <v>183</v>
      </c>
      <c r="D59" s="7" t="s">
        <v>229</v>
      </c>
      <c r="E59" s="8" t="s">
        <v>228</v>
      </c>
      <c r="F59" s="7" t="s">
        <v>975</v>
      </c>
      <c r="G59" s="8" t="s">
        <v>17</v>
      </c>
    </row>
    <row r="60" customFormat="false" ht="57" hidden="false" customHeight="true" outlineLevel="0" collapsed="false">
      <c r="A60" s="8" t="n">
        <v>59</v>
      </c>
      <c r="B60" s="7" t="s">
        <v>230</v>
      </c>
      <c r="C60" s="7" t="s">
        <v>183</v>
      </c>
      <c r="D60" s="7" t="s">
        <v>1046</v>
      </c>
      <c r="E60" s="8" t="s">
        <v>257</v>
      </c>
      <c r="F60" s="7" t="s">
        <v>975</v>
      </c>
      <c r="G60" s="8" t="s">
        <v>17</v>
      </c>
    </row>
    <row r="61" customFormat="false" ht="34.5" hidden="false" customHeight="true" outlineLevel="0" collapsed="false">
      <c r="A61" s="8" t="n">
        <v>60</v>
      </c>
      <c r="B61" s="7" t="s">
        <v>233</v>
      </c>
      <c r="C61" s="7" t="s">
        <v>183</v>
      </c>
      <c r="D61" s="7" t="s">
        <v>1047</v>
      </c>
      <c r="E61" s="8" t="s">
        <v>1048</v>
      </c>
      <c r="F61" s="7" t="s">
        <v>975</v>
      </c>
      <c r="G61" s="8" t="s">
        <v>17</v>
      </c>
    </row>
    <row r="62" customFormat="false" ht="45.75" hidden="false" customHeight="true" outlineLevel="0" collapsed="false">
      <c r="A62" s="8" t="n">
        <v>61</v>
      </c>
      <c r="B62" s="7" t="s">
        <v>237</v>
      </c>
      <c r="C62" s="7" t="s">
        <v>183</v>
      </c>
      <c r="D62" s="7" t="s">
        <v>1049</v>
      </c>
      <c r="E62" s="8" t="s">
        <v>1050</v>
      </c>
      <c r="F62" s="7" t="s">
        <v>975</v>
      </c>
      <c r="G62" s="8" t="s">
        <v>17</v>
      </c>
    </row>
    <row r="63" customFormat="false" ht="45.75" hidden="false" customHeight="true" outlineLevel="0" collapsed="false">
      <c r="A63" s="8" t="n">
        <v>62</v>
      </c>
      <c r="B63" s="7" t="s">
        <v>241</v>
      </c>
      <c r="C63" s="7" t="s">
        <v>183</v>
      </c>
      <c r="D63" s="7" t="s">
        <v>243</v>
      </c>
      <c r="E63" s="8" t="s">
        <v>242</v>
      </c>
      <c r="F63" s="7" t="s">
        <v>975</v>
      </c>
      <c r="G63" s="8" t="s">
        <v>17</v>
      </c>
    </row>
    <row r="64" customFormat="false" ht="34.5" hidden="false" customHeight="true" outlineLevel="0" collapsed="false">
      <c r="A64" s="8" t="n">
        <v>63</v>
      </c>
      <c r="B64" s="7" t="s">
        <v>244</v>
      </c>
      <c r="C64" s="7" t="s">
        <v>183</v>
      </c>
      <c r="D64" s="7" t="s">
        <v>1051</v>
      </c>
      <c r="E64" s="8" t="s">
        <v>431</v>
      </c>
      <c r="F64" s="7" t="s">
        <v>975</v>
      </c>
      <c r="G64" s="8" t="s">
        <v>17</v>
      </c>
    </row>
    <row r="65" customFormat="false" ht="34.5" hidden="false" customHeight="true" outlineLevel="0" collapsed="false">
      <c r="A65" s="8" t="n">
        <v>64</v>
      </c>
      <c r="B65" s="7" t="s">
        <v>248</v>
      </c>
      <c r="C65" s="7" t="s">
        <v>183</v>
      </c>
      <c r="D65" s="7" t="s">
        <v>1052</v>
      </c>
      <c r="E65" s="8" t="s">
        <v>1053</v>
      </c>
      <c r="F65" s="7" t="s">
        <v>975</v>
      </c>
      <c r="G65" s="8" t="s">
        <v>17</v>
      </c>
    </row>
    <row r="66" customFormat="false" ht="34.5" hidden="false" customHeight="true" outlineLevel="0" collapsed="false">
      <c r="A66" s="8" t="n">
        <v>65</v>
      </c>
      <c r="B66" s="7" t="s">
        <v>252</v>
      </c>
      <c r="C66" s="7" t="s">
        <v>183</v>
      </c>
      <c r="D66" s="7" t="s">
        <v>1054</v>
      </c>
      <c r="E66" s="8" t="s">
        <v>1055</v>
      </c>
      <c r="F66" s="7" t="s">
        <v>975</v>
      </c>
      <c r="G66" s="8" t="s">
        <v>17</v>
      </c>
    </row>
    <row r="67" customFormat="false" ht="34.5" hidden="false" customHeight="true" outlineLevel="0" collapsed="false">
      <c r="A67" s="8" t="n">
        <v>66</v>
      </c>
      <c r="B67" s="7" t="s">
        <v>256</v>
      </c>
      <c r="C67" s="7" t="s">
        <v>183</v>
      </c>
      <c r="D67" s="7" t="s">
        <v>258</v>
      </c>
      <c r="E67" s="8" t="s">
        <v>257</v>
      </c>
      <c r="F67" s="7" t="s">
        <v>975</v>
      </c>
      <c r="G67" s="8" t="s">
        <v>17</v>
      </c>
    </row>
    <row r="68" customFormat="false" ht="45.75" hidden="false" customHeight="true" outlineLevel="0" collapsed="false">
      <c r="A68" s="8" t="n">
        <v>67</v>
      </c>
      <c r="B68" s="7" t="s">
        <v>259</v>
      </c>
      <c r="C68" s="7" t="s">
        <v>183</v>
      </c>
      <c r="D68" s="7" t="s">
        <v>243</v>
      </c>
      <c r="E68" s="8" t="s">
        <v>242</v>
      </c>
      <c r="F68" s="7" t="s">
        <v>975</v>
      </c>
      <c r="G68" s="8" t="s">
        <v>17</v>
      </c>
    </row>
    <row r="69" customFormat="false" ht="34.5" hidden="false" customHeight="true" outlineLevel="0" collapsed="false">
      <c r="A69" s="8" t="n">
        <v>68</v>
      </c>
      <c r="B69" s="7" t="s">
        <v>262</v>
      </c>
      <c r="C69" s="7" t="s">
        <v>183</v>
      </c>
      <c r="D69" s="7" t="s">
        <v>258</v>
      </c>
      <c r="E69" s="8" t="s">
        <v>257</v>
      </c>
      <c r="F69" s="7" t="s">
        <v>975</v>
      </c>
      <c r="G69" s="8" t="s">
        <v>17</v>
      </c>
    </row>
    <row r="70" customFormat="false" ht="45.75" hidden="false" customHeight="true" outlineLevel="0" collapsed="false">
      <c r="A70" s="8" t="n">
        <v>69</v>
      </c>
      <c r="B70" s="7" t="s">
        <v>263</v>
      </c>
      <c r="C70" s="7" t="s">
        <v>183</v>
      </c>
      <c r="D70" s="7" t="s">
        <v>1056</v>
      </c>
      <c r="E70" s="8" t="s">
        <v>221</v>
      </c>
      <c r="F70" s="7" t="s">
        <v>975</v>
      </c>
      <c r="G70" s="8" t="s">
        <v>17</v>
      </c>
    </row>
    <row r="71" customFormat="false" ht="45.75" hidden="false" customHeight="true" outlineLevel="0" collapsed="false">
      <c r="A71" s="8" t="n">
        <v>70</v>
      </c>
      <c r="B71" s="7" t="s">
        <v>267</v>
      </c>
      <c r="C71" s="7" t="s">
        <v>183</v>
      </c>
      <c r="D71" s="7" t="s">
        <v>243</v>
      </c>
      <c r="E71" s="8" t="s">
        <v>242</v>
      </c>
      <c r="F71" s="7" t="s">
        <v>975</v>
      </c>
      <c r="G71" s="8" t="s">
        <v>17</v>
      </c>
    </row>
    <row r="72" customFormat="false" ht="34.5" hidden="false" customHeight="true" outlineLevel="0" collapsed="false">
      <c r="A72" s="8" t="n">
        <v>71</v>
      </c>
      <c r="B72" s="7" t="s">
        <v>268</v>
      </c>
      <c r="C72" s="7" t="s">
        <v>183</v>
      </c>
      <c r="D72" s="7" t="s">
        <v>1057</v>
      </c>
      <c r="E72" s="8" t="s">
        <v>406</v>
      </c>
      <c r="F72" s="7" t="s">
        <v>975</v>
      </c>
      <c r="G72" s="8" t="s">
        <v>17</v>
      </c>
    </row>
    <row r="73" customFormat="false" ht="23.25" hidden="false" customHeight="true" outlineLevel="0" collapsed="false">
      <c r="A73" s="8" t="n">
        <v>72</v>
      </c>
      <c r="B73" s="7" t="s">
        <v>271</v>
      </c>
      <c r="C73" s="7" t="s">
        <v>183</v>
      </c>
      <c r="D73" s="7" t="s">
        <v>1058</v>
      </c>
      <c r="E73" s="8" t="s">
        <v>1059</v>
      </c>
      <c r="F73" s="7" t="s">
        <v>975</v>
      </c>
      <c r="G73" s="8" t="s">
        <v>17</v>
      </c>
    </row>
    <row r="74" customFormat="false" ht="45.75" hidden="false" customHeight="true" outlineLevel="0" collapsed="false">
      <c r="A74" s="8" t="n">
        <v>73</v>
      </c>
      <c r="B74" s="7" t="s">
        <v>274</v>
      </c>
      <c r="C74" s="7" t="s">
        <v>183</v>
      </c>
      <c r="D74" s="7" t="s">
        <v>1060</v>
      </c>
      <c r="E74" s="8" t="s">
        <v>1061</v>
      </c>
      <c r="F74" s="7" t="s">
        <v>975</v>
      </c>
      <c r="G74" s="8" t="s">
        <v>17</v>
      </c>
    </row>
    <row r="75" customFormat="false" ht="34.5" hidden="false" customHeight="true" outlineLevel="0" collapsed="false">
      <c r="A75" s="8" t="n">
        <v>74</v>
      </c>
      <c r="B75" s="7" t="s">
        <v>278</v>
      </c>
      <c r="C75" s="7" t="s">
        <v>183</v>
      </c>
      <c r="D75" s="7" t="s">
        <v>1062</v>
      </c>
      <c r="E75" s="8" t="s">
        <v>1063</v>
      </c>
      <c r="F75" s="7" t="s">
        <v>975</v>
      </c>
      <c r="G75" s="8" t="s">
        <v>17</v>
      </c>
    </row>
    <row r="76" customFormat="false" ht="34.5" hidden="false" customHeight="true" outlineLevel="0" collapsed="false">
      <c r="A76" s="8" t="n">
        <v>75</v>
      </c>
      <c r="B76" s="7" t="s">
        <v>281</v>
      </c>
      <c r="C76" s="7" t="s">
        <v>183</v>
      </c>
      <c r="D76" s="7" t="s">
        <v>1064</v>
      </c>
      <c r="E76" s="8" t="s">
        <v>221</v>
      </c>
      <c r="F76" s="7" t="s">
        <v>975</v>
      </c>
      <c r="G76" s="8" t="s">
        <v>17</v>
      </c>
    </row>
    <row r="77" customFormat="false" ht="23.25" hidden="false" customHeight="true" outlineLevel="0" collapsed="false">
      <c r="A77" s="8" t="n">
        <v>76</v>
      </c>
      <c r="B77" s="7" t="s">
        <v>284</v>
      </c>
      <c r="C77" s="7" t="s">
        <v>183</v>
      </c>
      <c r="D77" s="7" t="s">
        <v>1065</v>
      </c>
      <c r="E77" s="8" t="s">
        <v>1066</v>
      </c>
      <c r="F77" s="7" t="s">
        <v>975</v>
      </c>
      <c r="G77" s="8" t="s">
        <v>17</v>
      </c>
    </row>
    <row r="78" customFormat="false" ht="34.5" hidden="false" customHeight="true" outlineLevel="0" collapsed="false">
      <c r="A78" s="8" t="n">
        <v>77</v>
      </c>
      <c r="B78" s="7" t="s">
        <v>288</v>
      </c>
      <c r="C78" s="7" t="s">
        <v>183</v>
      </c>
      <c r="D78" s="7" t="s">
        <v>292</v>
      </c>
      <c r="E78" s="8" t="s">
        <v>291</v>
      </c>
      <c r="F78" s="7" t="s">
        <v>975</v>
      </c>
      <c r="G78" s="8" t="s">
        <v>17</v>
      </c>
    </row>
    <row r="79" customFormat="false" ht="34.5" hidden="false" customHeight="true" outlineLevel="0" collapsed="false">
      <c r="A79" s="8" t="n">
        <v>78</v>
      </c>
      <c r="B79" s="7" t="s">
        <v>293</v>
      </c>
      <c r="C79" s="7" t="s">
        <v>183</v>
      </c>
      <c r="D79" s="7" t="s">
        <v>1067</v>
      </c>
      <c r="E79" s="8" t="s">
        <v>1068</v>
      </c>
      <c r="F79" s="7" t="s">
        <v>975</v>
      </c>
      <c r="G79" s="8" t="s">
        <v>17</v>
      </c>
    </row>
    <row r="80" customFormat="false" ht="34.5" hidden="false" customHeight="true" outlineLevel="0" collapsed="false">
      <c r="A80" s="8" t="n">
        <v>79</v>
      </c>
      <c r="B80" s="7" t="s">
        <v>297</v>
      </c>
      <c r="C80" s="7" t="s">
        <v>183</v>
      </c>
      <c r="D80" s="7" t="s">
        <v>1069</v>
      </c>
      <c r="E80" s="8" t="s">
        <v>1070</v>
      </c>
      <c r="F80" s="7" t="s">
        <v>975</v>
      </c>
      <c r="G80" s="8" t="s">
        <v>17</v>
      </c>
    </row>
    <row r="81" customFormat="false" ht="34.5" hidden="false" customHeight="true" outlineLevel="0" collapsed="false">
      <c r="A81" s="8" t="n">
        <v>80</v>
      </c>
      <c r="B81" s="7" t="s">
        <v>301</v>
      </c>
      <c r="C81" s="7" t="s">
        <v>183</v>
      </c>
      <c r="D81" s="7" t="s">
        <v>1071</v>
      </c>
      <c r="E81" s="8" t="s">
        <v>1072</v>
      </c>
      <c r="F81" s="7" t="s">
        <v>975</v>
      </c>
      <c r="G81" s="8" t="s">
        <v>17</v>
      </c>
    </row>
    <row r="82" customFormat="false" ht="34.5" hidden="false" customHeight="true" outlineLevel="0" collapsed="false">
      <c r="A82" s="8" t="n">
        <v>81</v>
      </c>
      <c r="B82" s="7" t="s">
        <v>305</v>
      </c>
      <c r="C82" s="7" t="s">
        <v>183</v>
      </c>
      <c r="D82" s="7" t="s">
        <v>1073</v>
      </c>
      <c r="E82" s="8" t="s">
        <v>1072</v>
      </c>
      <c r="F82" s="7" t="s">
        <v>975</v>
      </c>
      <c r="G82" s="8" t="s">
        <v>17</v>
      </c>
    </row>
    <row r="83" customFormat="false" ht="34.5" hidden="false" customHeight="true" outlineLevel="0" collapsed="false">
      <c r="A83" s="8" t="n">
        <v>82</v>
      </c>
      <c r="B83" s="7" t="s">
        <v>309</v>
      </c>
      <c r="C83" s="7" t="s">
        <v>183</v>
      </c>
      <c r="D83" s="7" t="s">
        <v>1074</v>
      </c>
      <c r="E83" s="8" t="s">
        <v>1075</v>
      </c>
      <c r="F83" s="7" t="s">
        <v>975</v>
      </c>
      <c r="G83" s="8" t="s">
        <v>17</v>
      </c>
    </row>
    <row r="84" customFormat="false" ht="34.5" hidden="false" customHeight="true" outlineLevel="0" collapsed="false">
      <c r="A84" s="8" t="n">
        <v>83</v>
      </c>
      <c r="B84" s="7" t="s">
        <v>313</v>
      </c>
      <c r="C84" s="7" t="s">
        <v>183</v>
      </c>
      <c r="D84" s="7" t="s">
        <v>1076</v>
      </c>
      <c r="E84" s="8" t="s">
        <v>1072</v>
      </c>
      <c r="F84" s="7" t="s">
        <v>975</v>
      </c>
      <c r="G84" s="8" t="s">
        <v>17</v>
      </c>
    </row>
    <row r="85" customFormat="false" ht="23.25" hidden="false" customHeight="true" outlineLevel="0" collapsed="false">
      <c r="A85" s="8" t="n">
        <v>84</v>
      </c>
      <c r="B85" s="7" t="s">
        <v>317</v>
      </c>
      <c r="C85" s="7" t="s">
        <v>183</v>
      </c>
      <c r="D85" s="7" t="s">
        <v>1077</v>
      </c>
      <c r="E85" s="8" t="s">
        <v>1078</v>
      </c>
      <c r="F85" s="7" t="s">
        <v>975</v>
      </c>
      <c r="G85" s="8" t="s">
        <v>17</v>
      </c>
    </row>
    <row r="86" customFormat="false" ht="34.5" hidden="false" customHeight="true" outlineLevel="0" collapsed="false">
      <c r="A86" s="8" t="n">
        <v>85</v>
      </c>
      <c r="B86" s="7" t="s">
        <v>321</v>
      </c>
      <c r="C86" s="7" t="s">
        <v>183</v>
      </c>
      <c r="D86" s="7" t="s">
        <v>1079</v>
      </c>
      <c r="E86" s="8" t="s">
        <v>1072</v>
      </c>
      <c r="F86" s="7" t="s">
        <v>975</v>
      </c>
      <c r="G86" s="8" t="s">
        <v>17</v>
      </c>
    </row>
    <row r="87" customFormat="false" ht="34.5" hidden="false" customHeight="true" outlineLevel="0" collapsed="false">
      <c r="A87" s="8" t="n">
        <v>86</v>
      </c>
      <c r="B87" s="7" t="s">
        <v>326</v>
      </c>
      <c r="C87" s="7" t="s">
        <v>183</v>
      </c>
      <c r="D87" s="7" t="s">
        <v>1080</v>
      </c>
      <c r="E87" s="8" t="s">
        <v>1081</v>
      </c>
      <c r="F87" s="7" t="s">
        <v>975</v>
      </c>
      <c r="G87" s="8" t="s">
        <v>17</v>
      </c>
    </row>
    <row r="88" customFormat="false" ht="45.75" hidden="false" customHeight="true" outlineLevel="0" collapsed="false">
      <c r="A88" s="8" t="n">
        <v>87</v>
      </c>
      <c r="B88" s="7" t="s">
        <v>330</v>
      </c>
      <c r="C88" s="7" t="s">
        <v>183</v>
      </c>
      <c r="D88" s="7" t="s">
        <v>1082</v>
      </c>
      <c r="E88" s="8" t="s">
        <v>1083</v>
      </c>
      <c r="F88" s="7" t="s">
        <v>975</v>
      </c>
      <c r="G88" s="8" t="s">
        <v>17</v>
      </c>
    </row>
    <row r="89" customFormat="false" ht="34.5" hidden="false" customHeight="true" outlineLevel="0" collapsed="false">
      <c r="A89" s="8" t="n">
        <v>88</v>
      </c>
      <c r="B89" s="7" t="s">
        <v>334</v>
      </c>
      <c r="C89" s="7" t="s">
        <v>183</v>
      </c>
      <c r="D89" s="7" t="s">
        <v>1084</v>
      </c>
      <c r="E89" s="8" t="s">
        <v>1085</v>
      </c>
      <c r="F89" s="7" t="s">
        <v>975</v>
      </c>
      <c r="G89" s="8" t="s">
        <v>17</v>
      </c>
    </row>
    <row r="90" customFormat="false" ht="34.5" hidden="false" customHeight="true" outlineLevel="0" collapsed="false">
      <c r="A90" s="8" t="n">
        <v>89</v>
      </c>
      <c r="B90" s="7" t="s">
        <v>338</v>
      </c>
      <c r="C90" s="7" t="s">
        <v>183</v>
      </c>
      <c r="D90" s="7" t="s">
        <v>1086</v>
      </c>
      <c r="E90" s="8" t="s">
        <v>1087</v>
      </c>
      <c r="F90" s="7" t="s">
        <v>975</v>
      </c>
      <c r="G90" s="8" t="s">
        <v>17</v>
      </c>
    </row>
    <row r="91" customFormat="false" ht="34.5" hidden="false" customHeight="true" outlineLevel="0" collapsed="false">
      <c r="A91" s="8" t="n">
        <v>90</v>
      </c>
      <c r="B91" s="7" t="s">
        <v>343</v>
      </c>
      <c r="C91" s="7" t="s">
        <v>183</v>
      </c>
      <c r="D91" s="7" t="s">
        <v>1088</v>
      </c>
      <c r="E91" s="8" t="s">
        <v>1089</v>
      </c>
      <c r="F91" s="7" t="s">
        <v>1009</v>
      </c>
      <c r="G91" s="8" t="s">
        <v>17</v>
      </c>
    </row>
    <row r="92" customFormat="false" ht="23.25" hidden="false" customHeight="true" outlineLevel="0" collapsed="false">
      <c r="A92" s="8" t="n">
        <v>91</v>
      </c>
      <c r="B92" s="7" t="s">
        <v>348</v>
      </c>
      <c r="C92" s="7" t="s">
        <v>183</v>
      </c>
      <c r="D92" s="7" t="s">
        <v>351</v>
      </c>
      <c r="E92" s="8" t="s">
        <v>350</v>
      </c>
      <c r="F92" s="7" t="s">
        <v>975</v>
      </c>
      <c r="G92" s="8" t="s">
        <v>17</v>
      </c>
    </row>
    <row r="93" customFormat="false" ht="34.5" hidden="false" customHeight="true" outlineLevel="0" collapsed="false">
      <c r="A93" s="8" t="n">
        <v>92</v>
      </c>
      <c r="B93" s="7" t="s">
        <v>352</v>
      </c>
      <c r="C93" s="7" t="s">
        <v>183</v>
      </c>
      <c r="D93" s="7" t="s">
        <v>355</v>
      </c>
      <c r="E93" s="8" t="s">
        <v>354</v>
      </c>
      <c r="F93" s="7" t="s">
        <v>975</v>
      </c>
      <c r="G93" s="8" t="s">
        <v>17</v>
      </c>
    </row>
    <row r="94" customFormat="false" ht="45.75" hidden="false" customHeight="true" outlineLevel="0" collapsed="false">
      <c r="A94" s="8" t="n">
        <v>93</v>
      </c>
      <c r="B94" s="7" t="s">
        <v>356</v>
      </c>
      <c r="C94" s="7" t="s">
        <v>183</v>
      </c>
      <c r="D94" s="7" t="s">
        <v>1090</v>
      </c>
      <c r="E94" s="8" t="s">
        <v>1091</v>
      </c>
      <c r="F94" s="7" t="s">
        <v>975</v>
      </c>
      <c r="G94" s="8" t="s">
        <v>17</v>
      </c>
    </row>
    <row r="95" customFormat="false" ht="23.25" hidden="false" customHeight="true" outlineLevel="0" collapsed="false">
      <c r="A95" s="8" t="n">
        <v>94</v>
      </c>
      <c r="B95" s="7" t="s">
        <v>360</v>
      </c>
      <c r="C95" s="7" t="s">
        <v>183</v>
      </c>
      <c r="D95" s="7" t="s">
        <v>1092</v>
      </c>
      <c r="E95" s="8" t="s">
        <v>1093</v>
      </c>
      <c r="F95" s="7" t="s">
        <v>975</v>
      </c>
      <c r="G95" s="8" t="s">
        <v>17</v>
      </c>
    </row>
    <row r="96" customFormat="false" ht="23.25" hidden="false" customHeight="true" outlineLevel="0" collapsed="false">
      <c r="A96" s="8" t="n">
        <v>95</v>
      </c>
      <c r="B96" s="7" t="s">
        <v>364</v>
      </c>
      <c r="C96" s="7" t="s">
        <v>183</v>
      </c>
      <c r="D96" s="7" t="s">
        <v>1094</v>
      </c>
      <c r="E96" s="8" t="s">
        <v>1095</v>
      </c>
      <c r="F96" s="7" t="s">
        <v>1009</v>
      </c>
      <c r="G96" s="8" t="s">
        <v>17</v>
      </c>
    </row>
    <row r="97" customFormat="false" ht="34.5" hidden="false" customHeight="true" outlineLevel="0" collapsed="false">
      <c r="A97" s="8" t="n">
        <v>96</v>
      </c>
      <c r="B97" s="7" t="s">
        <v>368</v>
      </c>
      <c r="C97" s="7" t="s">
        <v>183</v>
      </c>
      <c r="D97" s="7" t="s">
        <v>371</v>
      </c>
      <c r="E97" s="8" t="s">
        <v>370</v>
      </c>
      <c r="F97" s="7" t="s">
        <v>975</v>
      </c>
      <c r="G97" s="8" t="s">
        <v>17</v>
      </c>
    </row>
    <row r="98" customFormat="false" ht="34.5" hidden="false" customHeight="true" outlineLevel="0" collapsed="false">
      <c r="A98" s="8" t="n">
        <v>97</v>
      </c>
      <c r="B98" s="7" t="s">
        <v>372</v>
      </c>
      <c r="C98" s="7" t="s">
        <v>183</v>
      </c>
      <c r="D98" s="7" t="s">
        <v>1096</v>
      </c>
      <c r="E98" s="8" t="s">
        <v>1097</v>
      </c>
      <c r="F98" s="7" t="s">
        <v>975</v>
      </c>
      <c r="G98" s="8" t="s">
        <v>17</v>
      </c>
    </row>
    <row r="99" customFormat="false" ht="34.5" hidden="false" customHeight="true" outlineLevel="0" collapsed="false">
      <c r="A99" s="8" t="n">
        <v>98</v>
      </c>
      <c r="B99" s="7" t="s">
        <v>377</v>
      </c>
      <c r="C99" s="7" t="s">
        <v>183</v>
      </c>
      <c r="D99" s="7" t="s">
        <v>380</v>
      </c>
      <c r="E99" s="8" t="s">
        <v>379</v>
      </c>
      <c r="F99" s="7" t="s">
        <v>975</v>
      </c>
      <c r="G99" s="8" t="s">
        <v>17</v>
      </c>
    </row>
    <row r="100" customFormat="false" ht="34.5" hidden="false" customHeight="true" outlineLevel="0" collapsed="false">
      <c r="A100" s="8" t="n">
        <v>99</v>
      </c>
      <c r="B100" s="7" t="s">
        <v>381</v>
      </c>
      <c r="C100" s="7" t="s">
        <v>183</v>
      </c>
      <c r="D100" s="7" t="s">
        <v>1098</v>
      </c>
      <c r="E100" s="8" t="s">
        <v>1075</v>
      </c>
      <c r="F100" s="7" t="s">
        <v>975</v>
      </c>
      <c r="G100" s="8" t="s">
        <v>17</v>
      </c>
    </row>
    <row r="101" customFormat="false" ht="34.5" hidden="false" customHeight="true" outlineLevel="0" collapsed="false">
      <c r="A101" s="8" t="n">
        <v>100</v>
      </c>
      <c r="B101" s="7" t="s">
        <v>384</v>
      </c>
      <c r="C101" s="7" t="s">
        <v>183</v>
      </c>
      <c r="D101" s="7" t="s">
        <v>387</v>
      </c>
      <c r="E101" s="8" t="s">
        <v>386</v>
      </c>
      <c r="F101" s="7" t="s">
        <v>975</v>
      </c>
      <c r="G101" s="8" t="s">
        <v>17</v>
      </c>
    </row>
    <row r="102" customFormat="false" ht="34.5" hidden="false" customHeight="true" outlineLevel="0" collapsed="false">
      <c r="A102" s="8" t="n">
        <v>101</v>
      </c>
      <c r="B102" s="7" t="s">
        <v>388</v>
      </c>
      <c r="C102" s="7" t="s">
        <v>183</v>
      </c>
      <c r="D102" s="7" t="s">
        <v>371</v>
      </c>
      <c r="E102" s="8" t="s">
        <v>370</v>
      </c>
      <c r="F102" s="7" t="s">
        <v>975</v>
      </c>
      <c r="G102" s="8" t="s">
        <v>17</v>
      </c>
    </row>
    <row r="103" customFormat="false" ht="57" hidden="false" customHeight="true" outlineLevel="0" collapsed="false">
      <c r="A103" s="8" t="n">
        <v>102</v>
      </c>
      <c r="B103" s="7" t="s">
        <v>392</v>
      </c>
      <c r="C103" s="7" t="s">
        <v>183</v>
      </c>
      <c r="D103" s="7" t="s">
        <v>1099</v>
      </c>
      <c r="E103" s="8" t="s">
        <v>1100</v>
      </c>
      <c r="F103" s="7" t="s">
        <v>975</v>
      </c>
      <c r="G103" s="8" t="s">
        <v>17</v>
      </c>
    </row>
    <row r="104" customFormat="false" ht="23.25" hidden="false" customHeight="true" outlineLevel="0" collapsed="false">
      <c r="A104" s="8" t="n">
        <v>103</v>
      </c>
      <c r="B104" s="7" t="s">
        <v>396</v>
      </c>
      <c r="C104" s="7" t="s">
        <v>183</v>
      </c>
      <c r="D104" s="7" t="s">
        <v>399</v>
      </c>
      <c r="E104" s="8" t="s">
        <v>398</v>
      </c>
      <c r="F104" s="7" t="s">
        <v>975</v>
      </c>
      <c r="G104" s="8" t="s">
        <v>17</v>
      </c>
    </row>
    <row r="105" customFormat="false" ht="34.5" hidden="false" customHeight="true" outlineLevel="0" collapsed="false">
      <c r="A105" s="8" t="n">
        <v>104</v>
      </c>
      <c r="B105" s="7" t="s">
        <v>400</v>
      </c>
      <c r="C105" s="7" t="s">
        <v>183</v>
      </c>
      <c r="D105" s="7" t="s">
        <v>1101</v>
      </c>
      <c r="E105" s="8" t="s">
        <v>1102</v>
      </c>
      <c r="F105" s="7" t="s">
        <v>975</v>
      </c>
      <c r="G105" s="8" t="s">
        <v>17</v>
      </c>
    </row>
    <row r="106" customFormat="false" ht="34.5" hidden="false" customHeight="true" outlineLevel="0" collapsed="false">
      <c r="A106" s="8" t="n">
        <v>105</v>
      </c>
      <c r="B106" s="7" t="s">
        <v>404</v>
      </c>
      <c r="C106" s="7" t="s">
        <v>183</v>
      </c>
      <c r="D106" s="7" t="s">
        <v>407</v>
      </c>
      <c r="E106" s="8" t="s">
        <v>406</v>
      </c>
      <c r="F106" s="7" t="s">
        <v>975</v>
      </c>
      <c r="G106" s="8" t="s">
        <v>17</v>
      </c>
    </row>
    <row r="107" customFormat="false" ht="34.5" hidden="false" customHeight="true" outlineLevel="0" collapsed="false">
      <c r="A107" s="8" t="n">
        <v>106</v>
      </c>
      <c r="B107" s="7" t="s">
        <v>408</v>
      </c>
      <c r="C107" s="7" t="s">
        <v>183</v>
      </c>
      <c r="D107" s="7" t="s">
        <v>412</v>
      </c>
      <c r="E107" s="8" t="s">
        <v>411</v>
      </c>
      <c r="F107" s="7" t="s">
        <v>975</v>
      </c>
      <c r="G107" s="8" t="s">
        <v>17</v>
      </c>
    </row>
    <row r="108" customFormat="false" ht="34.5" hidden="false" customHeight="true" outlineLevel="0" collapsed="false">
      <c r="A108" s="8" t="n">
        <v>107</v>
      </c>
      <c r="B108" s="7" t="s">
        <v>413</v>
      </c>
      <c r="C108" s="7" t="s">
        <v>183</v>
      </c>
      <c r="D108" s="7" t="s">
        <v>1103</v>
      </c>
      <c r="E108" s="8" t="s">
        <v>1104</v>
      </c>
      <c r="F108" s="7" t="s">
        <v>975</v>
      </c>
      <c r="G108" s="8" t="s">
        <v>17</v>
      </c>
    </row>
    <row r="109" customFormat="false" ht="45.75" hidden="false" customHeight="true" outlineLevel="0" collapsed="false">
      <c r="A109" s="8" t="n">
        <v>108</v>
      </c>
      <c r="B109" s="7" t="s">
        <v>418</v>
      </c>
      <c r="C109" s="7" t="s">
        <v>183</v>
      </c>
      <c r="D109" s="7" t="s">
        <v>1105</v>
      </c>
      <c r="E109" s="8" t="s">
        <v>1106</v>
      </c>
      <c r="F109" s="7" t="s">
        <v>975</v>
      </c>
      <c r="G109" s="8" t="s">
        <v>17</v>
      </c>
    </row>
    <row r="110" customFormat="false" ht="34.5" hidden="false" customHeight="true" outlineLevel="0" collapsed="false">
      <c r="A110" s="8" t="n">
        <v>109</v>
      </c>
      <c r="B110" s="7" t="s">
        <v>422</v>
      </c>
      <c r="C110" s="7" t="s">
        <v>183</v>
      </c>
      <c r="D110" s="7" t="s">
        <v>1080</v>
      </c>
      <c r="E110" s="8" t="s">
        <v>1081</v>
      </c>
      <c r="F110" s="7" t="s">
        <v>975</v>
      </c>
      <c r="G110" s="8" t="s">
        <v>17</v>
      </c>
    </row>
    <row r="111" customFormat="false" ht="57" hidden="false" customHeight="true" outlineLevel="0" collapsed="false">
      <c r="A111" s="8" t="n">
        <v>110</v>
      </c>
      <c r="B111" s="7" t="s">
        <v>424</v>
      </c>
      <c r="C111" s="7" t="s">
        <v>183</v>
      </c>
      <c r="D111" s="7" t="s">
        <v>1107</v>
      </c>
      <c r="E111" s="8" t="s">
        <v>1108</v>
      </c>
      <c r="F111" s="7" t="s">
        <v>975</v>
      </c>
      <c r="G111" s="8" t="s">
        <v>17</v>
      </c>
    </row>
    <row r="112" customFormat="false" ht="34.5" hidden="false" customHeight="true" outlineLevel="0" collapsed="false">
      <c r="A112" s="8" t="n">
        <v>111</v>
      </c>
      <c r="B112" s="7" t="s">
        <v>429</v>
      </c>
      <c r="C112" s="7" t="s">
        <v>183</v>
      </c>
      <c r="D112" s="7" t="s">
        <v>432</v>
      </c>
      <c r="E112" s="8" t="s">
        <v>431</v>
      </c>
      <c r="F112" s="7" t="s">
        <v>975</v>
      </c>
      <c r="G112" s="8" t="s">
        <v>17</v>
      </c>
    </row>
    <row r="113" customFormat="false" ht="34.5" hidden="false" customHeight="true" outlineLevel="0" collapsed="false">
      <c r="A113" s="8" t="n">
        <v>112</v>
      </c>
      <c r="B113" s="7" t="s">
        <v>433</v>
      </c>
      <c r="C113" s="7" t="s">
        <v>183</v>
      </c>
      <c r="D113" s="7" t="s">
        <v>1109</v>
      </c>
      <c r="E113" s="8" t="s">
        <v>1110</v>
      </c>
      <c r="F113" s="7" t="s">
        <v>975</v>
      </c>
      <c r="G113" s="8" t="s">
        <v>17</v>
      </c>
    </row>
    <row r="114" customFormat="false" ht="34.5" hidden="false" customHeight="true" outlineLevel="0" collapsed="false">
      <c r="A114" s="8" t="n">
        <v>113</v>
      </c>
      <c r="B114" s="7" t="s">
        <v>437</v>
      </c>
      <c r="C114" s="7" t="s">
        <v>183</v>
      </c>
      <c r="D114" s="7" t="s">
        <v>1111</v>
      </c>
      <c r="E114" s="8" t="s">
        <v>1102</v>
      </c>
      <c r="F114" s="7" t="s">
        <v>975</v>
      </c>
      <c r="G114" s="8" t="s">
        <v>17</v>
      </c>
    </row>
    <row r="115" customFormat="false" ht="57" hidden="false" customHeight="true" outlineLevel="0" collapsed="false">
      <c r="A115" s="8" t="n">
        <v>114</v>
      </c>
      <c r="B115" s="7" t="s">
        <v>441</v>
      </c>
      <c r="C115" s="7" t="s">
        <v>183</v>
      </c>
      <c r="D115" s="7" t="s">
        <v>1112</v>
      </c>
      <c r="E115" s="8" t="s">
        <v>1113</v>
      </c>
      <c r="F115" s="7" t="s">
        <v>975</v>
      </c>
      <c r="G115" s="8" t="s">
        <v>17</v>
      </c>
    </row>
    <row r="116" customFormat="false" ht="34.5" hidden="false" customHeight="true" outlineLevel="0" collapsed="false">
      <c r="A116" s="8" t="n">
        <v>115</v>
      </c>
      <c r="B116" s="7" t="s">
        <v>445</v>
      </c>
      <c r="C116" s="7" t="s">
        <v>183</v>
      </c>
      <c r="D116" s="7" t="s">
        <v>1114</v>
      </c>
      <c r="E116" s="8" t="s">
        <v>1115</v>
      </c>
      <c r="F116" s="7" t="s">
        <v>1116</v>
      </c>
      <c r="G116" s="8" t="s">
        <v>17</v>
      </c>
    </row>
    <row r="117" customFormat="false" ht="34.5" hidden="false" customHeight="true" outlineLevel="0" collapsed="false">
      <c r="A117" s="8" t="n">
        <v>116</v>
      </c>
      <c r="B117" s="7" t="s">
        <v>450</v>
      </c>
      <c r="C117" s="7" t="s">
        <v>183</v>
      </c>
      <c r="D117" s="7" t="s">
        <v>1117</v>
      </c>
      <c r="E117" s="8" t="s">
        <v>1118</v>
      </c>
      <c r="F117" s="7" t="s">
        <v>975</v>
      </c>
      <c r="G117" s="8" t="s">
        <v>17</v>
      </c>
    </row>
    <row r="118" customFormat="false" ht="34.5" hidden="false" customHeight="true" outlineLevel="0" collapsed="false">
      <c r="A118" s="8" t="n">
        <v>117</v>
      </c>
      <c r="B118" s="7" t="s">
        <v>454</v>
      </c>
      <c r="C118" s="7" t="s">
        <v>183</v>
      </c>
      <c r="D118" s="7" t="s">
        <v>1101</v>
      </c>
      <c r="E118" s="8" t="s">
        <v>1102</v>
      </c>
      <c r="F118" s="7" t="s">
        <v>975</v>
      </c>
      <c r="G118" s="8" t="s">
        <v>17</v>
      </c>
    </row>
    <row r="119" customFormat="false" ht="45.75" hidden="false" customHeight="true" outlineLevel="0" collapsed="false">
      <c r="A119" s="8" t="n">
        <v>118</v>
      </c>
      <c r="B119" s="7" t="s">
        <v>457</v>
      </c>
      <c r="C119" s="7" t="s">
        <v>183</v>
      </c>
      <c r="D119" s="7" t="s">
        <v>1119</v>
      </c>
      <c r="E119" s="8" t="s">
        <v>1089</v>
      </c>
      <c r="F119" s="7" t="s">
        <v>1120</v>
      </c>
      <c r="G119" s="8" t="s">
        <v>17</v>
      </c>
    </row>
    <row r="120" customFormat="false" ht="34.5" hidden="false" customHeight="true" outlineLevel="0" collapsed="false">
      <c r="A120" s="8" t="n">
        <v>119</v>
      </c>
      <c r="B120" s="7" t="s">
        <v>463</v>
      </c>
      <c r="C120" s="7" t="s">
        <v>183</v>
      </c>
      <c r="D120" s="7" t="s">
        <v>1121</v>
      </c>
      <c r="E120" s="8" t="s">
        <v>1075</v>
      </c>
      <c r="F120" s="7" t="s">
        <v>975</v>
      </c>
      <c r="G120" s="8" t="s">
        <v>17</v>
      </c>
    </row>
    <row r="121" customFormat="false" ht="45.75" hidden="false" customHeight="true" outlineLevel="0" collapsed="false">
      <c r="A121" s="8" t="n">
        <v>120</v>
      </c>
      <c r="B121" s="7" t="s">
        <v>467</v>
      </c>
      <c r="C121" s="7" t="s">
        <v>183</v>
      </c>
      <c r="D121" s="7" t="s">
        <v>1122</v>
      </c>
      <c r="E121" s="8" t="s">
        <v>1123</v>
      </c>
      <c r="F121" s="7" t="s">
        <v>975</v>
      </c>
      <c r="G121" s="8" t="s">
        <v>17</v>
      </c>
    </row>
    <row r="122" customFormat="false" ht="34.5" hidden="false" customHeight="true" outlineLevel="0" collapsed="false">
      <c r="A122" s="8" t="n">
        <v>121</v>
      </c>
      <c r="B122" s="7" t="s">
        <v>471</v>
      </c>
      <c r="C122" s="7" t="s">
        <v>183</v>
      </c>
      <c r="D122" s="7" t="s">
        <v>474</v>
      </c>
      <c r="E122" s="8" t="s">
        <v>411</v>
      </c>
      <c r="F122" s="7" t="s">
        <v>975</v>
      </c>
      <c r="G122" s="8" t="s">
        <v>17</v>
      </c>
    </row>
    <row r="123" customFormat="false" ht="34.5" hidden="false" customHeight="true" outlineLevel="0" collapsed="false">
      <c r="A123" s="8" t="n">
        <v>122</v>
      </c>
      <c r="B123" s="7" t="s">
        <v>475</v>
      </c>
      <c r="C123" s="7" t="s">
        <v>183</v>
      </c>
      <c r="D123" s="7" t="s">
        <v>1124</v>
      </c>
      <c r="E123" s="8" t="s">
        <v>1072</v>
      </c>
      <c r="F123" s="7" t="s">
        <v>975</v>
      </c>
      <c r="G123" s="8" t="s">
        <v>17</v>
      </c>
    </row>
    <row r="124" customFormat="false" ht="45.75" hidden="false" customHeight="true" outlineLevel="0" collapsed="false">
      <c r="A124" s="8" t="n">
        <v>123</v>
      </c>
      <c r="B124" s="7" t="s">
        <v>479</v>
      </c>
      <c r="C124" s="7" t="s">
        <v>183</v>
      </c>
      <c r="D124" s="7" t="s">
        <v>1125</v>
      </c>
      <c r="E124" s="8" t="s">
        <v>1126</v>
      </c>
      <c r="F124" s="7" t="s">
        <v>975</v>
      </c>
      <c r="G124" s="8" t="s">
        <v>17</v>
      </c>
    </row>
    <row r="125" customFormat="false" ht="34.5" hidden="false" customHeight="true" outlineLevel="0" collapsed="false">
      <c r="A125" s="8" t="n">
        <v>124</v>
      </c>
      <c r="B125" s="7" t="s">
        <v>483</v>
      </c>
      <c r="C125" s="7" t="s">
        <v>183</v>
      </c>
      <c r="D125" s="7" t="s">
        <v>1080</v>
      </c>
      <c r="E125" s="8" t="s">
        <v>1081</v>
      </c>
      <c r="F125" s="7" t="s">
        <v>975</v>
      </c>
      <c r="G125" s="8" t="s">
        <v>17</v>
      </c>
    </row>
    <row r="126" customFormat="false" ht="23.25" hidden="false" customHeight="true" outlineLevel="0" collapsed="false">
      <c r="A126" s="8" t="n">
        <v>125</v>
      </c>
      <c r="B126" s="7" t="s">
        <v>485</v>
      </c>
      <c r="C126" s="7" t="s">
        <v>487</v>
      </c>
      <c r="D126" s="7" t="s">
        <v>1127</v>
      </c>
      <c r="E126" s="8" t="s">
        <v>1128</v>
      </c>
      <c r="F126" s="7" t="s">
        <v>975</v>
      </c>
      <c r="G126" s="8" t="s">
        <v>17</v>
      </c>
    </row>
    <row r="127" customFormat="false" ht="34.5" hidden="false" customHeight="true" outlineLevel="0" collapsed="false">
      <c r="A127" s="8" t="n">
        <v>126</v>
      </c>
      <c r="B127" s="7" t="s">
        <v>490</v>
      </c>
      <c r="C127" s="7" t="s">
        <v>487</v>
      </c>
      <c r="D127" s="7" t="s">
        <v>494</v>
      </c>
      <c r="E127" s="8" t="s">
        <v>493</v>
      </c>
      <c r="F127" s="7" t="s">
        <v>1009</v>
      </c>
      <c r="G127" s="8" t="s">
        <v>17</v>
      </c>
    </row>
    <row r="128" customFormat="false" ht="23.25" hidden="false" customHeight="true" outlineLevel="0" collapsed="false">
      <c r="A128" s="8" t="n">
        <v>127</v>
      </c>
      <c r="B128" s="7" t="s">
        <v>495</v>
      </c>
      <c r="C128" s="7" t="s">
        <v>487</v>
      </c>
      <c r="D128" s="7" t="s">
        <v>499</v>
      </c>
      <c r="E128" s="8" t="s">
        <v>498</v>
      </c>
      <c r="F128" s="7" t="s">
        <v>975</v>
      </c>
      <c r="G128" s="8" t="s">
        <v>17</v>
      </c>
    </row>
    <row r="129" customFormat="false" ht="23.25" hidden="false" customHeight="true" outlineLevel="0" collapsed="false">
      <c r="A129" s="8" t="n">
        <v>128</v>
      </c>
      <c r="B129" s="7" t="s">
        <v>500</v>
      </c>
      <c r="C129" s="7" t="s">
        <v>487</v>
      </c>
      <c r="D129" s="7" t="s">
        <v>1129</v>
      </c>
      <c r="E129" s="8" t="s">
        <v>1130</v>
      </c>
      <c r="F129" s="7" t="s">
        <v>975</v>
      </c>
      <c r="G129" s="8" t="s">
        <v>17</v>
      </c>
    </row>
    <row r="130" customFormat="false" ht="68.25" hidden="false" customHeight="true" outlineLevel="0" collapsed="false">
      <c r="A130" s="8" t="n">
        <v>129</v>
      </c>
      <c r="B130" s="7" t="s">
        <v>504</v>
      </c>
      <c r="C130" s="7" t="s">
        <v>487</v>
      </c>
      <c r="D130" s="7" t="s">
        <v>1131</v>
      </c>
      <c r="E130" s="8" t="s">
        <v>1132</v>
      </c>
      <c r="F130" s="7" t="s">
        <v>1009</v>
      </c>
      <c r="G130" s="8" t="s">
        <v>17</v>
      </c>
    </row>
    <row r="131" customFormat="false" ht="34.5" hidden="false" customHeight="true" outlineLevel="0" collapsed="false">
      <c r="A131" s="8" t="n">
        <v>130</v>
      </c>
      <c r="B131" s="7" t="s">
        <v>509</v>
      </c>
      <c r="C131" s="7" t="s">
        <v>25</v>
      </c>
      <c r="D131" s="7" t="s">
        <v>513</v>
      </c>
      <c r="E131" s="8" t="s">
        <v>512</v>
      </c>
      <c r="F131" s="7" t="s">
        <v>1133</v>
      </c>
      <c r="G131" s="8" t="s">
        <v>514</v>
      </c>
    </row>
    <row r="132" customFormat="false" ht="34.5" hidden="false" customHeight="true" outlineLevel="0" collapsed="false">
      <c r="A132" s="8" t="n">
        <v>131</v>
      </c>
      <c r="B132" s="7" t="s">
        <v>515</v>
      </c>
      <c r="C132" s="7" t="s">
        <v>25</v>
      </c>
      <c r="D132" s="7" t="s">
        <v>1134</v>
      </c>
      <c r="E132" s="8" t="s">
        <v>26</v>
      </c>
      <c r="F132" s="7" t="s">
        <v>1133</v>
      </c>
      <c r="G132" s="8" t="s">
        <v>514</v>
      </c>
    </row>
    <row r="133" customFormat="false" ht="23.25" hidden="false" customHeight="true" outlineLevel="0" collapsed="false">
      <c r="A133" s="8" t="n">
        <v>132</v>
      </c>
      <c r="B133" s="7" t="s">
        <v>520</v>
      </c>
      <c r="C133" s="7" t="s">
        <v>25</v>
      </c>
      <c r="D133" s="7" t="s">
        <v>1135</v>
      </c>
      <c r="E133" s="8" t="s">
        <v>1136</v>
      </c>
      <c r="F133" s="7" t="s">
        <v>985</v>
      </c>
      <c r="G133" s="8" t="s">
        <v>514</v>
      </c>
    </row>
    <row r="134" customFormat="false" ht="23.25" hidden="false" customHeight="true" outlineLevel="0" collapsed="false">
      <c r="A134" s="8" t="n">
        <v>133</v>
      </c>
      <c r="B134" s="7" t="s">
        <v>524</v>
      </c>
      <c r="C134" s="7" t="s">
        <v>25</v>
      </c>
      <c r="D134" s="7" t="s">
        <v>527</v>
      </c>
      <c r="E134" s="8" t="s">
        <v>526</v>
      </c>
      <c r="F134" s="7" t="s">
        <v>1133</v>
      </c>
      <c r="G134" s="8" t="s">
        <v>514</v>
      </c>
    </row>
    <row r="135" customFormat="false" ht="15" hidden="false" customHeight="true" outlineLevel="0" collapsed="false">
      <c r="A135" s="8" t="n">
        <v>134</v>
      </c>
      <c r="B135" s="7" t="s">
        <v>528</v>
      </c>
      <c r="C135" s="7" t="s">
        <v>25</v>
      </c>
      <c r="D135" s="7" t="s">
        <v>531</v>
      </c>
      <c r="E135" s="8" t="s">
        <v>530</v>
      </c>
      <c r="F135" s="7" t="s">
        <v>1133</v>
      </c>
      <c r="G135" s="8" t="s">
        <v>514</v>
      </c>
    </row>
    <row r="136" customFormat="false" ht="15" hidden="false" customHeight="true" outlineLevel="0" collapsed="false">
      <c r="A136" s="8" t="n">
        <v>135</v>
      </c>
      <c r="B136" s="7" t="s">
        <v>532</v>
      </c>
      <c r="C136" s="7" t="s">
        <v>25</v>
      </c>
      <c r="D136" s="7" t="s">
        <v>536</v>
      </c>
      <c r="E136" s="8" t="s">
        <v>535</v>
      </c>
      <c r="F136" s="7" t="s">
        <v>1133</v>
      </c>
      <c r="G136" s="8" t="s">
        <v>514</v>
      </c>
    </row>
    <row r="137" customFormat="false" ht="15" hidden="false" customHeight="true" outlineLevel="0" collapsed="false">
      <c r="A137" s="8" t="n">
        <v>136</v>
      </c>
      <c r="B137" s="7" t="s">
        <v>537</v>
      </c>
      <c r="C137" s="7" t="s">
        <v>25</v>
      </c>
      <c r="D137" s="7" t="s">
        <v>540</v>
      </c>
      <c r="E137" s="8" t="s">
        <v>539</v>
      </c>
      <c r="F137" s="7" t="s">
        <v>1133</v>
      </c>
      <c r="G137" s="8" t="s">
        <v>514</v>
      </c>
    </row>
    <row r="138" customFormat="false" ht="23.25" hidden="false" customHeight="true" outlineLevel="0" collapsed="false">
      <c r="A138" s="8" t="n">
        <v>137</v>
      </c>
      <c r="B138" s="7" t="s">
        <v>541</v>
      </c>
      <c r="C138" s="7" t="s">
        <v>25</v>
      </c>
      <c r="D138" s="7" t="s">
        <v>1137</v>
      </c>
      <c r="E138" s="8" t="s">
        <v>539</v>
      </c>
      <c r="F138" s="7" t="s">
        <v>1133</v>
      </c>
      <c r="G138" s="8" t="s">
        <v>514</v>
      </c>
    </row>
    <row r="139" customFormat="false" ht="15" hidden="false" customHeight="true" outlineLevel="0" collapsed="false">
      <c r="A139" s="8" t="n">
        <v>138</v>
      </c>
      <c r="B139" s="7" t="s">
        <v>545</v>
      </c>
      <c r="C139" s="7" t="s">
        <v>25</v>
      </c>
      <c r="D139" s="7" t="s">
        <v>531</v>
      </c>
      <c r="E139" s="8" t="s">
        <v>530</v>
      </c>
      <c r="F139" s="7" t="s">
        <v>1133</v>
      </c>
      <c r="G139" s="8" t="s">
        <v>514</v>
      </c>
    </row>
    <row r="140" customFormat="false" ht="15" hidden="false" customHeight="true" outlineLevel="0" collapsed="false">
      <c r="A140" s="8" t="n">
        <v>139</v>
      </c>
      <c r="B140" s="7" t="s">
        <v>547</v>
      </c>
      <c r="C140" s="7" t="s">
        <v>25</v>
      </c>
      <c r="D140" s="7" t="s">
        <v>550</v>
      </c>
      <c r="E140" s="8" t="s">
        <v>549</v>
      </c>
      <c r="F140" s="7" t="s">
        <v>1133</v>
      </c>
      <c r="G140" s="8" t="s">
        <v>514</v>
      </c>
    </row>
    <row r="141" customFormat="false" ht="34.5" hidden="false" customHeight="true" outlineLevel="0" collapsed="false">
      <c r="A141" s="8" t="n">
        <v>140</v>
      </c>
      <c r="B141" s="7" t="s">
        <v>551</v>
      </c>
      <c r="C141" s="7" t="s">
        <v>25</v>
      </c>
      <c r="D141" s="7" t="s">
        <v>1138</v>
      </c>
      <c r="E141" s="8" t="s">
        <v>1139</v>
      </c>
      <c r="F141" s="7" t="s">
        <v>1120</v>
      </c>
      <c r="G141" s="8" t="s">
        <v>514</v>
      </c>
    </row>
    <row r="142" customFormat="false" ht="23.25" hidden="false" customHeight="true" outlineLevel="0" collapsed="false">
      <c r="A142" s="8" t="n">
        <v>141</v>
      </c>
      <c r="B142" s="7" t="s">
        <v>555</v>
      </c>
      <c r="C142" s="7" t="s">
        <v>25</v>
      </c>
      <c r="D142" s="7" t="s">
        <v>1140</v>
      </c>
      <c r="E142" s="8" t="s">
        <v>1141</v>
      </c>
      <c r="F142" s="7" t="s">
        <v>1133</v>
      </c>
      <c r="G142" s="8" t="s">
        <v>514</v>
      </c>
    </row>
    <row r="143" customFormat="false" ht="23.25" hidden="false" customHeight="true" outlineLevel="0" collapsed="false">
      <c r="A143" s="8" t="n">
        <v>142</v>
      </c>
      <c r="B143" s="7" t="s">
        <v>559</v>
      </c>
      <c r="C143" s="7" t="s">
        <v>25</v>
      </c>
      <c r="D143" s="7" t="s">
        <v>527</v>
      </c>
      <c r="E143" s="8" t="s">
        <v>526</v>
      </c>
      <c r="F143" s="7" t="s">
        <v>1133</v>
      </c>
      <c r="G143" s="8" t="s">
        <v>514</v>
      </c>
    </row>
    <row r="144" customFormat="false" ht="45.75" hidden="false" customHeight="true" outlineLevel="0" collapsed="false">
      <c r="A144" s="8" t="n">
        <v>143</v>
      </c>
      <c r="B144" s="7" t="s">
        <v>561</v>
      </c>
      <c r="C144" s="7" t="s">
        <v>25</v>
      </c>
      <c r="D144" s="7" t="s">
        <v>1142</v>
      </c>
      <c r="E144" s="8" t="s">
        <v>1143</v>
      </c>
      <c r="F144" s="7" t="s">
        <v>1120</v>
      </c>
      <c r="G144" s="8" t="s">
        <v>514</v>
      </c>
    </row>
    <row r="145" customFormat="false" ht="23.25" hidden="false" customHeight="true" outlineLevel="0" collapsed="false">
      <c r="A145" s="8" t="n">
        <v>144</v>
      </c>
      <c r="B145" s="7" t="s">
        <v>565</v>
      </c>
      <c r="C145" s="7" t="s">
        <v>25</v>
      </c>
      <c r="D145" s="7" t="s">
        <v>1144</v>
      </c>
      <c r="E145" s="8" t="s">
        <v>1145</v>
      </c>
      <c r="F145" s="7" t="s">
        <v>1133</v>
      </c>
      <c r="G145" s="8" t="s">
        <v>514</v>
      </c>
    </row>
    <row r="146" customFormat="false" ht="34.5" hidden="false" customHeight="true" outlineLevel="0" collapsed="false">
      <c r="A146" s="8" t="n">
        <v>145</v>
      </c>
      <c r="B146" s="7" t="s">
        <v>569</v>
      </c>
      <c r="C146" s="7" t="s">
        <v>25</v>
      </c>
      <c r="D146" s="7" t="s">
        <v>1146</v>
      </c>
      <c r="E146" s="8" t="s">
        <v>535</v>
      </c>
      <c r="F146" s="7" t="s">
        <v>1133</v>
      </c>
      <c r="G146" s="8" t="s">
        <v>514</v>
      </c>
    </row>
    <row r="147" customFormat="false" ht="23.25" hidden="false" customHeight="true" outlineLevel="0" collapsed="false">
      <c r="A147" s="8" t="n">
        <v>146</v>
      </c>
      <c r="B147" s="7" t="s">
        <v>573</v>
      </c>
      <c r="C147" s="7" t="s">
        <v>25</v>
      </c>
      <c r="D147" s="7" t="s">
        <v>576</v>
      </c>
      <c r="E147" s="8" t="s">
        <v>575</v>
      </c>
      <c r="F147" s="7" t="s">
        <v>1133</v>
      </c>
      <c r="G147" s="8" t="s">
        <v>514</v>
      </c>
    </row>
    <row r="148" customFormat="false" ht="15" hidden="false" customHeight="true" outlineLevel="0" collapsed="false">
      <c r="A148" s="8" t="n">
        <v>147</v>
      </c>
      <c r="B148" s="7" t="s">
        <v>577</v>
      </c>
      <c r="C148" s="7" t="s">
        <v>25</v>
      </c>
      <c r="D148" s="7" t="s">
        <v>536</v>
      </c>
      <c r="E148" s="8" t="s">
        <v>535</v>
      </c>
      <c r="F148" s="7" t="s">
        <v>1133</v>
      </c>
      <c r="G148" s="8" t="s">
        <v>514</v>
      </c>
    </row>
    <row r="149" customFormat="false" ht="34.5" hidden="false" customHeight="true" outlineLevel="0" collapsed="false">
      <c r="A149" s="8" t="n">
        <v>148</v>
      </c>
      <c r="B149" s="7" t="s">
        <v>579</v>
      </c>
      <c r="C149" s="7" t="s">
        <v>25</v>
      </c>
      <c r="D149" s="7" t="s">
        <v>1147</v>
      </c>
      <c r="E149" s="8" t="s">
        <v>530</v>
      </c>
      <c r="F149" s="7" t="s">
        <v>1133</v>
      </c>
      <c r="G149" s="8" t="s">
        <v>514</v>
      </c>
    </row>
    <row r="150" customFormat="false" ht="23.25" hidden="false" customHeight="true" outlineLevel="0" collapsed="false">
      <c r="A150" s="8" t="n">
        <v>149</v>
      </c>
      <c r="B150" s="7" t="s">
        <v>584</v>
      </c>
      <c r="C150" s="7" t="s">
        <v>25</v>
      </c>
      <c r="D150" s="7" t="s">
        <v>587</v>
      </c>
      <c r="E150" s="8" t="s">
        <v>586</v>
      </c>
      <c r="F150" s="7" t="s">
        <v>1133</v>
      </c>
      <c r="G150" s="8" t="s">
        <v>514</v>
      </c>
    </row>
    <row r="151" customFormat="false" ht="23.25" hidden="false" customHeight="true" outlineLevel="0" collapsed="false">
      <c r="A151" s="8" t="n">
        <v>150</v>
      </c>
      <c r="B151" s="7" t="s">
        <v>588</v>
      </c>
      <c r="C151" s="7" t="s">
        <v>25</v>
      </c>
      <c r="D151" s="7" t="s">
        <v>1148</v>
      </c>
      <c r="E151" s="8" t="s">
        <v>1149</v>
      </c>
      <c r="F151" s="7" t="s">
        <v>1133</v>
      </c>
      <c r="G151" s="8" t="s">
        <v>514</v>
      </c>
    </row>
    <row r="152" customFormat="false" ht="34.5" hidden="false" customHeight="true" outlineLevel="0" collapsed="false">
      <c r="A152" s="8" t="n">
        <v>151</v>
      </c>
      <c r="B152" s="7" t="s">
        <v>593</v>
      </c>
      <c r="C152" s="7" t="s">
        <v>25</v>
      </c>
      <c r="D152" s="7" t="s">
        <v>1150</v>
      </c>
      <c r="E152" s="8" t="s">
        <v>1151</v>
      </c>
      <c r="F152" s="7" t="s">
        <v>975</v>
      </c>
      <c r="G152" s="8" t="s">
        <v>514</v>
      </c>
    </row>
    <row r="153" customFormat="false" ht="23.25" hidden="false" customHeight="true" outlineLevel="0" collapsed="false">
      <c r="A153" s="8" t="n">
        <v>152</v>
      </c>
      <c r="B153" s="7" t="s">
        <v>598</v>
      </c>
      <c r="C153" s="7" t="s">
        <v>25</v>
      </c>
      <c r="D153" s="7" t="s">
        <v>1152</v>
      </c>
      <c r="E153" s="8" t="s">
        <v>1153</v>
      </c>
      <c r="F153" s="7" t="s">
        <v>975</v>
      </c>
      <c r="G153" s="8" t="s">
        <v>514</v>
      </c>
    </row>
    <row r="154" customFormat="false" ht="23.25" hidden="false" customHeight="true" outlineLevel="0" collapsed="false">
      <c r="A154" s="8" t="n">
        <v>153</v>
      </c>
      <c r="B154" s="7" t="s">
        <v>602</v>
      </c>
      <c r="C154" s="7" t="s">
        <v>25</v>
      </c>
      <c r="D154" s="7" t="s">
        <v>1154</v>
      </c>
      <c r="E154" s="8" t="s">
        <v>575</v>
      </c>
      <c r="F154" s="7" t="s">
        <v>1133</v>
      </c>
      <c r="G154" s="8" t="s">
        <v>514</v>
      </c>
    </row>
    <row r="155" customFormat="false" ht="23.25" hidden="false" customHeight="true" outlineLevel="0" collapsed="false">
      <c r="A155" s="8" t="n">
        <v>154</v>
      </c>
      <c r="B155" s="7" t="s">
        <v>606</v>
      </c>
      <c r="C155" s="7" t="s">
        <v>25</v>
      </c>
      <c r="D155" s="7" t="s">
        <v>1155</v>
      </c>
      <c r="E155" s="8" t="s">
        <v>1000</v>
      </c>
      <c r="F155" s="7" t="s">
        <v>1133</v>
      </c>
      <c r="G155" s="8" t="s">
        <v>514</v>
      </c>
    </row>
    <row r="156" customFormat="false" ht="34.5" hidden="false" customHeight="true" outlineLevel="0" collapsed="false">
      <c r="A156" s="8" t="n">
        <v>155</v>
      </c>
      <c r="B156" s="7" t="s">
        <v>609</v>
      </c>
      <c r="C156" s="7" t="s">
        <v>25</v>
      </c>
      <c r="D156" s="7" t="s">
        <v>1156</v>
      </c>
      <c r="E156" s="8" t="s">
        <v>1157</v>
      </c>
      <c r="F156" s="7" t="s">
        <v>1133</v>
      </c>
      <c r="G156" s="8" t="s">
        <v>514</v>
      </c>
    </row>
    <row r="157" customFormat="false" ht="23.25" hidden="false" customHeight="true" outlineLevel="0" collapsed="false">
      <c r="A157" s="8" t="n">
        <v>156</v>
      </c>
      <c r="B157" s="7" t="s">
        <v>614</v>
      </c>
      <c r="C157" s="7" t="s">
        <v>25</v>
      </c>
      <c r="D157" s="7" t="s">
        <v>616</v>
      </c>
      <c r="E157" s="8" t="s">
        <v>575</v>
      </c>
      <c r="F157" s="7" t="s">
        <v>1133</v>
      </c>
      <c r="G157" s="8" t="s">
        <v>514</v>
      </c>
    </row>
    <row r="158" customFormat="false" ht="23.25" hidden="false" customHeight="true" outlineLevel="0" collapsed="false">
      <c r="A158" s="8" t="n">
        <v>157</v>
      </c>
      <c r="B158" s="7" t="s">
        <v>617</v>
      </c>
      <c r="C158" s="7" t="s">
        <v>25</v>
      </c>
      <c r="D158" s="7" t="s">
        <v>1158</v>
      </c>
      <c r="E158" s="8" t="s">
        <v>549</v>
      </c>
      <c r="F158" s="7" t="s">
        <v>1133</v>
      </c>
      <c r="G158" s="8" t="s">
        <v>514</v>
      </c>
    </row>
    <row r="159" customFormat="false" ht="15" hidden="false" customHeight="true" outlineLevel="0" collapsed="false">
      <c r="A159" s="8" t="n">
        <v>158</v>
      </c>
      <c r="B159" s="7" t="s">
        <v>621</v>
      </c>
      <c r="C159" s="7" t="s">
        <v>25</v>
      </c>
      <c r="D159" s="7" t="s">
        <v>1159</v>
      </c>
      <c r="E159" s="8" t="s">
        <v>591</v>
      </c>
      <c r="F159" s="7" t="s">
        <v>1133</v>
      </c>
      <c r="G159" s="8" t="s">
        <v>514</v>
      </c>
    </row>
    <row r="160" customFormat="false" ht="23.25" hidden="false" customHeight="true" outlineLevel="0" collapsed="false">
      <c r="A160" s="8" t="n">
        <v>159</v>
      </c>
      <c r="B160" s="7" t="s">
        <v>625</v>
      </c>
      <c r="C160" s="7" t="s">
        <v>25</v>
      </c>
      <c r="D160" s="7" t="s">
        <v>1160</v>
      </c>
      <c r="E160" s="8" t="s">
        <v>526</v>
      </c>
      <c r="F160" s="7" t="s">
        <v>1133</v>
      </c>
      <c r="G160" s="8" t="s">
        <v>514</v>
      </c>
    </row>
    <row r="161" customFormat="false" ht="34.5" hidden="false" customHeight="true" outlineLevel="0" collapsed="false">
      <c r="A161" s="8" t="n">
        <v>160</v>
      </c>
      <c r="B161" s="7" t="s">
        <v>630</v>
      </c>
      <c r="C161" s="7" t="s">
        <v>25</v>
      </c>
      <c r="D161" s="7" t="s">
        <v>632</v>
      </c>
      <c r="E161" s="8" t="s">
        <v>512</v>
      </c>
      <c r="F161" s="7" t="s">
        <v>1133</v>
      </c>
      <c r="G161" s="8" t="s">
        <v>514</v>
      </c>
    </row>
    <row r="162" customFormat="false" ht="23.25" hidden="false" customHeight="true" outlineLevel="0" collapsed="false">
      <c r="A162" s="8" t="n">
        <v>161</v>
      </c>
      <c r="B162" s="7" t="s">
        <v>633</v>
      </c>
      <c r="C162" s="7" t="s">
        <v>25</v>
      </c>
      <c r="D162" s="7" t="s">
        <v>587</v>
      </c>
      <c r="E162" s="8" t="s">
        <v>586</v>
      </c>
      <c r="F162" s="7" t="s">
        <v>1133</v>
      </c>
      <c r="G162" s="8" t="s">
        <v>514</v>
      </c>
    </row>
    <row r="163" customFormat="false" ht="34.5" hidden="false" customHeight="true" outlineLevel="0" collapsed="false">
      <c r="A163" s="8" t="n">
        <v>162</v>
      </c>
      <c r="B163" s="7" t="s">
        <v>635</v>
      </c>
      <c r="C163" s="7" t="s">
        <v>25</v>
      </c>
      <c r="D163" s="7" t="s">
        <v>1161</v>
      </c>
      <c r="E163" s="8" t="s">
        <v>512</v>
      </c>
      <c r="F163" s="7" t="s">
        <v>1133</v>
      </c>
      <c r="G163" s="8" t="s">
        <v>514</v>
      </c>
    </row>
    <row r="164" customFormat="false" ht="34.5" hidden="false" customHeight="true" outlineLevel="0" collapsed="false">
      <c r="A164" s="8" t="n">
        <v>163</v>
      </c>
      <c r="B164" s="7" t="s">
        <v>639</v>
      </c>
      <c r="C164" s="7" t="s">
        <v>25</v>
      </c>
      <c r="D164" s="7" t="s">
        <v>1162</v>
      </c>
      <c r="E164" s="8" t="s">
        <v>586</v>
      </c>
      <c r="F164" s="7" t="s">
        <v>1133</v>
      </c>
      <c r="G164" s="8" t="s">
        <v>514</v>
      </c>
    </row>
    <row r="165" customFormat="false" ht="15" hidden="false" customHeight="true" outlineLevel="0" collapsed="false">
      <c r="A165" s="8" t="n">
        <v>164</v>
      </c>
      <c r="B165" s="7" t="s">
        <v>643</v>
      </c>
      <c r="C165" s="7" t="s">
        <v>25</v>
      </c>
      <c r="D165" s="7" t="s">
        <v>540</v>
      </c>
      <c r="E165" s="8" t="s">
        <v>539</v>
      </c>
      <c r="F165" s="7" t="s">
        <v>1133</v>
      </c>
      <c r="G165" s="8" t="s">
        <v>514</v>
      </c>
    </row>
    <row r="166" customFormat="false" ht="23.25" hidden="false" customHeight="true" outlineLevel="0" collapsed="false">
      <c r="A166" s="8" t="n">
        <v>165</v>
      </c>
      <c r="B166" s="7" t="s">
        <v>645</v>
      </c>
      <c r="C166" s="7" t="s">
        <v>25</v>
      </c>
      <c r="D166" s="7" t="s">
        <v>527</v>
      </c>
      <c r="E166" s="8" t="s">
        <v>526</v>
      </c>
      <c r="F166" s="7" t="s">
        <v>1133</v>
      </c>
      <c r="G166" s="8" t="s">
        <v>514</v>
      </c>
    </row>
    <row r="167" customFormat="false" ht="34.5" hidden="false" customHeight="true" outlineLevel="0" collapsed="false">
      <c r="A167" s="8" t="n">
        <v>166</v>
      </c>
      <c r="B167" s="7" t="s">
        <v>647</v>
      </c>
      <c r="C167" s="7" t="s">
        <v>25</v>
      </c>
      <c r="D167" s="7" t="s">
        <v>1163</v>
      </c>
      <c r="E167" s="8" t="s">
        <v>1164</v>
      </c>
      <c r="F167" s="7" t="s">
        <v>1165</v>
      </c>
      <c r="G167" s="8" t="s">
        <v>514</v>
      </c>
    </row>
    <row r="168" customFormat="false" ht="34.5" hidden="false" customHeight="true" outlineLevel="0" collapsed="false">
      <c r="A168" s="8" t="n">
        <v>167</v>
      </c>
      <c r="B168" s="7" t="s">
        <v>652</v>
      </c>
      <c r="C168" s="7" t="s">
        <v>128</v>
      </c>
      <c r="D168" s="7" t="s">
        <v>1166</v>
      </c>
      <c r="E168" s="8" t="s">
        <v>1167</v>
      </c>
      <c r="F168" s="7" t="s">
        <v>975</v>
      </c>
      <c r="G168" s="8" t="s">
        <v>514</v>
      </c>
    </row>
    <row r="169" customFormat="false" ht="34.5" hidden="false" customHeight="true" outlineLevel="0" collapsed="false">
      <c r="A169" s="8" t="n">
        <v>168</v>
      </c>
      <c r="B169" s="7" t="s">
        <v>656</v>
      </c>
      <c r="C169" s="7" t="s">
        <v>128</v>
      </c>
      <c r="D169" s="7" t="s">
        <v>659</v>
      </c>
      <c r="E169" s="8" t="s">
        <v>658</v>
      </c>
      <c r="F169" s="7" t="s">
        <v>975</v>
      </c>
      <c r="G169" s="8" t="s">
        <v>514</v>
      </c>
    </row>
    <row r="170" customFormat="false" ht="57" hidden="false" customHeight="true" outlineLevel="0" collapsed="false">
      <c r="A170" s="8" t="n">
        <v>169</v>
      </c>
      <c r="B170" s="7" t="s">
        <v>660</v>
      </c>
      <c r="C170" s="7" t="s">
        <v>128</v>
      </c>
      <c r="D170" s="7" t="s">
        <v>1168</v>
      </c>
      <c r="E170" s="8" t="s">
        <v>1169</v>
      </c>
      <c r="F170" s="7" t="s">
        <v>975</v>
      </c>
      <c r="G170" s="8" t="s">
        <v>514</v>
      </c>
    </row>
    <row r="171" customFormat="false" ht="15" hidden="false" customHeight="true" outlineLevel="0" collapsed="false">
      <c r="A171" s="8" t="n">
        <v>170</v>
      </c>
      <c r="B171" s="7" t="s">
        <v>664</v>
      </c>
      <c r="C171" s="7" t="s">
        <v>128</v>
      </c>
      <c r="D171" s="7" t="s">
        <v>1170</v>
      </c>
      <c r="E171" s="8" t="s">
        <v>1171</v>
      </c>
      <c r="F171" s="7" t="s">
        <v>1120</v>
      </c>
      <c r="G171" s="8" t="s">
        <v>514</v>
      </c>
    </row>
    <row r="172" customFormat="false" ht="34.5" hidden="false" customHeight="true" outlineLevel="0" collapsed="false">
      <c r="A172" s="8" t="n">
        <v>171</v>
      </c>
      <c r="B172" s="7" t="s">
        <v>669</v>
      </c>
      <c r="C172" s="7" t="s">
        <v>168</v>
      </c>
      <c r="D172" s="7" t="s">
        <v>671</v>
      </c>
      <c r="E172" s="8" t="s">
        <v>169</v>
      </c>
      <c r="F172" s="7" t="s">
        <v>975</v>
      </c>
      <c r="G172" s="8" t="s">
        <v>514</v>
      </c>
    </row>
    <row r="173" customFormat="false" ht="34.5" hidden="false" customHeight="true" outlineLevel="0" collapsed="false">
      <c r="A173" s="8" t="n">
        <v>172</v>
      </c>
      <c r="B173" s="7" t="s">
        <v>672</v>
      </c>
      <c r="C173" s="7" t="s">
        <v>128</v>
      </c>
      <c r="D173" s="7" t="s">
        <v>675</v>
      </c>
      <c r="E173" s="8" t="s">
        <v>674</v>
      </c>
      <c r="F173" s="7" t="s">
        <v>975</v>
      </c>
      <c r="G173" s="8" t="s">
        <v>514</v>
      </c>
    </row>
    <row r="174" customFormat="false" ht="23.25" hidden="false" customHeight="true" outlineLevel="0" collapsed="false">
      <c r="A174" s="8" t="n">
        <v>173</v>
      </c>
      <c r="B174" s="7" t="s">
        <v>676</v>
      </c>
      <c r="C174" s="7" t="s">
        <v>128</v>
      </c>
      <c r="D174" s="7" t="s">
        <v>679</v>
      </c>
      <c r="E174" s="8" t="s">
        <v>678</v>
      </c>
      <c r="F174" s="7" t="s">
        <v>1172</v>
      </c>
      <c r="G174" s="8" t="s">
        <v>514</v>
      </c>
    </row>
    <row r="175" customFormat="false" ht="23.25" hidden="false" customHeight="true" outlineLevel="0" collapsed="false">
      <c r="A175" s="8" t="n">
        <v>174</v>
      </c>
      <c r="B175" s="7" t="s">
        <v>680</v>
      </c>
      <c r="C175" s="7" t="s">
        <v>183</v>
      </c>
      <c r="D175" s="7" t="s">
        <v>1173</v>
      </c>
      <c r="E175" s="8" t="s">
        <v>1174</v>
      </c>
      <c r="F175" s="7" t="s">
        <v>975</v>
      </c>
      <c r="G175" s="8" t="s">
        <v>514</v>
      </c>
    </row>
    <row r="176" customFormat="false" ht="23.25" hidden="false" customHeight="true" outlineLevel="0" collapsed="false">
      <c r="A176" s="8" t="n">
        <v>175</v>
      </c>
      <c r="B176" s="7" t="s">
        <v>683</v>
      </c>
      <c r="C176" s="7" t="s">
        <v>183</v>
      </c>
      <c r="D176" s="7" t="s">
        <v>1175</v>
      </c>
      <c r="E176" s="8" t="s">
        <v>1176</v>
      </c>
      <c r="F176" s="7" t="s">
        <v>975</v>
      </c>
      <c r="G176" s="8" t="s">
        <v>514</v>
      </c>
    </row>
    <row r="177" customFormat="false" ht="23.25" hidden="false" customHeight="true" outlineLevel="0" collapsed="false">
      <c r="A177" s="8" t="n">
        <v>176</v>
      </c>
      <c r="B177" s="7" t="s">
        <v>686</v>
      </c>
      <c r="C177" s="7" t="s">
        <v>183</v>
      </c>
      <c r="D177" s="7" t="s">
        <v>1177</v>
      </c>
      <c r="E177" s="8" t="s">
        <v>1178</v>
      </c>
      <c r="F177" s="7" t="s">
        <v>975</v>
      </c>
      <c r="G177" s="8" t="s">
        <v>514</v>
      </c>
    </row>
    <row r="178" customFormat="false" ht="34.5" hidden="false" customHeight="true" outlineLevel="0" collapsed="false">
      <c r="A178" s="8" t="n">
        <v>177</v>
      </c>
      <c r="B178" s="7" t="s">
        <v>689</v>
      </c>
      <c r="C178" s="7" t="s">
        <v>183</v>
      </c>
      <c r="D178" s="7" t="s">
        <v>1179</v>
      </c>
      <c r="E178" s="8" t="s">
        <v>1180</v>
      </c>
      <c r="F178" s="7" t="s">
        <v>975</v>
      </c>
      <c r="G178" s="8" t="s">
        <v>514</v>
      </c>
    </row>
    <row r="179" customFormat="false" ht="34.5" hidden="false" customHeight="true" outlineLevel="0" collapsed="false">
      <c r="A179" s="8" t="n">
        <v>178</v>
      </c>
      <c r="B179" s="7" t="s">
        <v>692</v>
      </c>
      <c r="C179" s="7" t="s">
        <v>183</v>
      </c>
      <c r="D179" s="7" t="s">
        <v>258</v>
      </c>
      <c r="E179" s="8" t="s">
        <v>257</v>
      </c>
      <c r="F179" s="7" t="s">
        <v>975</v>
      </c>
      <c r="G179" s="8" t="s">
        <v>514</v>
      </c>
    </row>
    <row r="180" customFormat="false" ht="23.25" hidden="false" customHeight="true" outlineLevel="0" collapsed="false">
      <c r="A180" s="8" t="n">
        <v>179</v>
      </c>
      <c r="B180" s="7" t="s">
        <v>693</v>
      </c>
      <c r="C180" s="7" t="s">
        <v>183</v>
      </c>
      <c r="D180" s="7" t="s">
        <v>1181</v>
      </c>
      <c r="E180" s="8" t="s">
        <v>1182</v>
      </c>
      <c r="F180" s="7" t="s">
        <v>975</v>
      </c>
      <c r="G180" s="8" t="s">
        <v>514</v>
      </c>
    </row>
    <row r="181" customFormat="false" ht="34.5" hidden="false" customHeight="true" outlineLevel="0" collapsed="false">
      <c r="A181" s="8" t="n">
        <v>180</v>
      </c>
      <c r="B181" s="7" t="s">
        <v>696</v>
      </c>
      <c r="C181" s="7" t="s">
        <v>183</v>
      </c>
      <c r="D181" s="7" t="s">
        <v>1183</v>
      </c>
      <c r="E181" s="8" t="s">
        <v>1184</v>
      </c>
      <c r="F181" s="7" t="s">
        <v>975</v>
      </c>
      <c r="G181" s="8" t="s">
        <v>514</v>
      </c>
    </row>
    <row r="182" customFormat="false" ht="23.25" hidden="false" customHeight="true" outlineLevel="0" collapsed="false">
      <c r="A182" s="8" t="n">
        <v>181</v>
      </c>
      <c r="B182" s="7" t="s">
        <v>699</v>
      </c>
      <c r="C182" s="7" t="s">
        <v>183</v>
      </c>
      <c r="D182" s="7" t="s">
        <v>1185</v>
      </c>
      <c r="E182" s="8" t="s">
        <v>1186</v>
      </c>
      <c r="F182" s="7" t="s">
        <v>975</v>
      </c>
      <c r="G182" s="8" t="s">
        <v>514</v>
      </c>
    </row>
    <row r="183" customFormat="false" ht="34.5" hidden="false" customHeight="true" outlineLevel="0" collapsed="false">
      <c r="A183" s="8" t="n">
        <v>182</v>
      </c>
      <c r="B183" s="7" t="s">
        <v>702</v>
      </c>
      <c r="C183" s="7" t="s">
        <v>183</v>
      </c>
      <c r="D183" s="7" t="s">
        <v>1187</v>
      </c>
      <c r="E183" s="8" t="s">
        <v>1188</v>
      </c>
      <c r="F183" s="7" t="s">
        <v>975</v>
      </c>
      <c r="G183" s="8" t="s">
        <v>514</v>
      </c>
    </row>
    <row r="184" customFormat="false" ht="23.25" hidden="false" customHeight="true" outlineLevel="0" collapsed="false">
      <c r="A184" s="8" t="n">
        <v>183</v>
      </c>
      <c r="B184" s="7" t="s">
        <v>705</v>
      </c>
      <c r="C184" s="7" t="s">
        <v>183</v>
      </c>
      <c r="D184" s="7" t="s">
        <v>1189</v>
      </c>
      <c r="E184" s="8" t="s">
        <v>1190</v>
      </c>
      <c r="F184" s="7" t="s">
        <v>975</v>
      </c>
      <c r="G184" s="8" t="s">
        <v>514</v>
      </c>
    </row>
    <row r="185" customFormat="false" ht="34.5" hidden="false" customHeight="true" outlineLevel="0" collapsed="false">
      <c r="A185" s="8" t="n">
        <v>184</v>
      </c>
      <c r="B185" s="7" t="s">
        <v>709</v>
      </c>
      <c r="C185" s="7" t="s">
        <v>183</v>
      </c>
      <c r="D185" s="7" t="s">
        <v>1191</v>
      </c>
      <c r="E185" s="8" t="s">
        <v>1192</v>
      </c>
      <c r="F185" s="7" t="s">
        <v>975</v>
      </c>
      <c r="G185" s="8" t="s">
        <v>514</v>
      </c>
    </row>
    <row r="186" customFormat="false" ht="34.5" hidden="false" customHeight="true" outlineLevel="0" collapsed="false">
      <c r="A186" s="8" t="n">
        <v>185</v>
      </c>
      <c r="B186" s="7" t="s">
        <v>712</v>
      </c>
      <c r="C186" s="7" t="s">
        <v>183</v>
      </c>
      <c r="D186" s="7" t="s">
        <v>1193</v>
      </c>
      <c r="E186" s="8" t="s">
        <v>1194</v>
      </c>
      <c r="F186" s="7" t="s">
        <v>975</v>
      </c>
      <c r="G186" s="8" t="s">
        <v>514</v>
      </c>
    </row>
    <row r="187" customFormat="false" ht="34.5" hidden="false" customHeight="true" outlineLevel="0" collapsed="false">
      <c r="A187" s="8" t="n">
        <v>186</v>
      </c>
      <c r="B187" s="7" t="s">
        <v>715</v>
      </c>
      <c r="C187" s="7" t="s">
        <v>183</v>
      </c>
      <c r="D187" s="7" t="s">
        <v>1195</v>
      </c>
      <c r="E187" s="8" t="s">
        <v>1196</v>
      </c>
      <c r="F187" s="7" t="s">
        <v>975</v>
      </c>
      <c r="G187" s="8" t="s">
        <v>514</v>
      </c>
    </row>
    <row r="188" customFormat="false" ht="34.5" hidden="false" customHeight="true" outlineLevel="0" collapsed="false">
      <c r="A188" s="8" t="n">
        <v>187</v>
      </c>
      <c r="B188" s="7" t="s">
        <v>718</v>
      </c>
      <c r="C188" s="7" t="s">
        <v>183</v>
      </c>
      <c r="D188" s="7" t="s">
        <v>1197</v>
      </c>
      <c r="E188" s="8" t="s">
        <v>750</v>
      </c>
      <c r="F188" s="7" t="s">
        <v>975</v>
      </c>
      <c r="G188" s="8" t="s">
        <v>514</v>
      </c>
    </row>
    <row r="189" customFormat="false" ht="23.25" hidden="false" customHeight="true" outlineLevel="0" collapsed="false">
      <c r="A189" s="8" t="n">
        <v>188</v>
      </c>
      <c r="B189" s="7" t="s">
        <v>721</v>
      </c>
      <c r="C189" s="7" t="s">
        <v>183</v>
      </c>
      <c r="D189" s="7" t="s">
        <v>1198</v>
      </c>
      <c r="E189" s="8" t="s">
        <v>1199</v>
      </c>
      <c r="F189" s="7" t="s">
        <v>975</v>
      </c>
      <c r="G189" s="8" t="s">
        <v>514</v>
      </c>
    </row>
    <row r="190" customFormat="false" ht="23.25" hidden="false" customHeight="true" outlineLevel="0" collapsed="false">
      <c r="A190" s="8" t="n">
        <v>189</v>
      </c>
      <c r="B190" s="7" t="s">
        <v>724</v>
      </c>
      <c r="C190" s="7" t="s">
        <v>183</v>
      </c>
      <c r="D190" s="7" t="s">
        <v>1200</v>
      </c>
      <c r="E190" s="8" t="s">
        <v>1201</v>
      </c>
      <c r="F190" s="7" t="s">
        <v>975</v>
      </c>
      <c r="G190" s="8" t="s">
        <v>514</v>
      </c>
    </row>
    <row r="191" customFormat="false" ht="34.5" hidden="false" customHeight="true" outlineLevel="0" collapsed="false">
      <c r="A191" s="8" t="n">
        <v>190</v>
      </c>
      <c r="B191" s="7" t="s">
        <v>728</v>
      </c>
      <c r="C191" s="7" t="s">
        <v>183</v>
      </c>
      <c r="D191" s="7" t="s">
        <v>1202</v>
      </c>
      <c r="E191" s="8" t="s">
        <v>1203</v>
      </c>
      <c r="F191" s="7" t="s">
        <v>975</v>
      </c>
      <c r="G191" s="8" t="s">
        <v>514</v>
      </c>
    </row>
    <row r="192" customFormat="false" ht="34.5" hidden="false" customHeight="true" outlineLevel="0" collapsed="false">
      <c r="A192" s="8" t="n">
        <v>191</v>
      </c>
      <c r="B192" s="7" t="s">
        <v>731</v>
      </c>
      <c r="C192" s="7" t="s">
        <v>183</v>
      </c>
      <c r="D192" s="7" t="s">
        <v>1204</v>
      </c>
      <c r="E192" s="8" t="s">
        <v>1205</v>
      </c>
      <c r="F192" s="7" t="s">
        <v>975</v>
      </c>
      <c r="G192" s="8" t="s">
        <v>514</v>
      </c>
    </row>
    <row r="193" customFormat="false" ht="45.75" hidden="false" customHeight="true" outlineLevel="0" collapsed="false">
      <c r="A193" s="8" t="n">
        <v>192</v>
      </c>
      <c r="B193" s="7" t="s">
        <v>734</v>
      </c>
      <c r="C193" s="7" t="s">
        <v>183</v>
      </c>
      <c r="D193" s="7" t="s">
        <v>1206</v>
      </c>
      <c r="E193" s="8" t="s">
        <v>1207</v>
      </c>
      <c r="F193" s="7" t="s">
        <v>975</v>
      </c>
      <c r="G193" s="8" t="s">
        <v>514</v>
      </c>
    </row>
    <row r="194" customFormat="false" ht="34.5" hidden="false" customHeight="true" outlineLevel="0" collapsed="false">
      <c r="A194" s="8" t="n">
        <v>193</v>
      </c>
      <c r="B194" s="7" t="s">
        <v>737</v>
      </c>
      <c r="C194" s="7" t="s">
        <v>183</v>
      </c>
      <c r="D194" s="7" t="s">
        <v>1208</v>
      </c>
      <c r="E194" s="8" t="s">
        <v>1209</v>
      </c>
      <c r="F194" s="7" t="s">
        <v>975</v>
      </c>
      <c r="G194" s="8" t="s">
        <v>514</v>
      </c>
    </row>
    <row r="195" customFormat="false" ht="45.75" hidden="false" customHeight="true" outlineLevel="0" collapsed="false">
      <c r="A195" s="8" t="n">
        <v>194</v>
      </c>
      <c r="B195" s="7" t="s">
        <v>741</v>
      </c>
      <c r="C195" s="7" t="s">
        <v>183</v>
      </c>
      <c r="D195" s="7" t="s">
        <v>1210</v>
      </c>
      <c r="E195" s="8" t="s">
        <v>1211</v>
      </c>
      <c r="F195" s="7" t="s">
        <v>975</v>
      </c>
      <c r="G195" s="8" t="s">
        <v>514</v>
      </c>
    </row>
    <row r="196" customFormat="false" ht="15" hidden="false" customHeight="true" outlineLevel="0" collapsed="false">
      <c r="A196" s="8" t="n">
        <v>195</v>
      </c>
      <c r="B196" s="7" t="s">
        <v>744</v>
      </c>
      <c r="C196" s="7" t="s">
        <v>183</v>
      </c>
      <c r="D196" s="7" t="s">
        <v>747</v>
      </c>
      <c r="E196" s="8" t="s">
        <v>746</v>
      </c>
      <c r="F196" s="7" t="s">
        <v>1212</v>
      </c>
      <c r="G196" s="8" t="s">
        <v>514</v>
      </c>
    </row>
    <row r="197" customFormat="false" ht="34.5" hidden="false" customHeight="true" outlineLevel="0" collapsed="false">
      <c r="A197" s="8" t="n">
        <v>196</v>
      </c>
      <c r="B197" s="7" t="s">
        <v>748</v>
      </c>
      <c r="C197" s="7" t="s">
        <v>183</v>
      </c>
      <c r="D197" s="7" t="s">
        <v>751</v>
      </c>
      <c r="E197" s="8" t="s">
        <v>750</v>
      </c>
      <c r="F197" s="7" t="s">
        <v>975</v>
      </c>
      <c r="G197" s="8" t="s">
        <v>514</v>
      </c>
    </row>
    <row r="198" customFormat="false" ht="34.5" hidden="false" customHeight="true" outlineLevel="0" collapsed="false">
      <c r="A198" s="8" t="n">
        <v>197</v>
      </c>
      <c r="B198" s="7" t="s">
        <v>752</v>
      </c>
      <c r="C198" s="7" t="s">
        <v>183</v>
      </c>
      <c r="D198" s="7" t="s">
        <v>757</v>
      </c>
      <c r="E198" s="8" t="s">
        <v>756</v>
      </c>
      <c r="F198" s="7" t="s">
        <v>1172</v>
      </c>
      <c r="G198" s="8" t="s">
        <v>514</v>
      </c>
    </row>
    <row r="199" customFormat="false" ht="23.25" hidden="false" customHeight="true" outlineLevel="0" collapsed="false">
      <c r="A199" s="8" t="n">
        <v>198</v>
      </c>
      <c r="B199" s="7" t="s">
        <v>758</v>
      </c>
      <c r="C199" s="7" t="s">
        <v>183</v>
      </c>
      <c r="D199" s="7" t="s">
        <v>1213</v>
      </c>
      <c r="E199" s="8" t="s">
        <v>1214</v>
      </c>
      <c r="F199" s="7" t="s">
        <v>1116</v>
      </c>
      <c r="G199" s="8" t="s">
        <v>514</v>
      </c>
    </row>
    <row r="200" customFormat="false" ht="23.25" hidden="false" customHeight="true" outlineLevel="0" collapsed="false">
      <c r="A200" s="8" t="n">
        <v>199</v>
      </c>
      <c r="B200" s="7" t="s">
        <v>762</v>
      </c>
      <c r="C200" s="7" t="s">
        <v>183</v>
      </c>
      <c r="D200" s="7" t="s">
        <v>1215</v>
      </c>
      <c r="E200" s="8" t="s">
        <v>1216</v>
      </c>
      <c r="F200" s="7" t="s">
        <v>1116</v>
      </c>
      <c r="G200" s="8" t="s">
        <v>514</v>
      </c>
    </row>
    <row r="201" customFormat="false" ht="23.25" hidden="false" customHeight="true" outlineLevel="0" collapsed="false">
      <c r="A201" s="8" t="n">
        <v>200</v>
      </c>
      <c r="B201" s="7" t="s">
        <v>766</v>
      </c>
      <c r="C201" s="7" t="s">
        <v>183</v>
      </c>
      <c r="D201" s="7" t="s">
        <v>1217</v>
      </c>
      <c r="E201" s="8" t="s">
        <v>1218</v>
      </c>
      <c r="F201" s="7" t="s">
        <v>1116</v>
      </c>
      <c r="G201" s="8" t="s">
        <v>514</v>
      </c>
    </row>
    <row r="202" customFormat="false" ht="57" hidden="false" customHeight="true" outlineLevel="0" collapsed="false">
      <c r="A202" s="8" t="n">
        <v>201</v>
      </c>
      <c r="B202" s="7" t="s">
        <v>770</v>
      </c>
      <c r="C202" s="7" t="s">
        <v>183</v>
      </c>
      <c r="D202" s="7" t="s">
        <v>1219</v>
      </c>
      <c r="E202" s="8" t="s">
        <v>1220</v>
      </c>
      <c r="F202" s="7" t="s">
        <v>975</v>
      </c>
      <c r="G202" s="8" t="s">
        <v>514</v>
      </c>
    </row>
    <row r="203" customFormat="false" ht="23.25" hidden="false" customHeight="true" outlineLevel="0" collapsed="false">
      <c r="A203" s="8" t="n">
        <v>202</v>
      </c>
      <c r="B203" s="7" t="s">
        <v>775</v>
      </c>
      <c r="C203" s="7" t="s">
        <v>183</v>
      </c>
      <c r="D203" s="7" t="s">
        <v>1221</v>
      </c>
      <c r="E203" s="8" t="s">
        <v>1222</v>
      </c>
      <c r="F203" s="7" t="s">
        <v>975</v>
      </c>
      <c r="G203" s="8" t="s">
        <v>514</v>
      </c>
    </row>
    <row r="204" customFormat="false" ht="45.75" hidden="false" customHeight="true" outlineLevel="0" collapsed="false">
      <c r="A204" s="8" t="n">
        <v>203</v>
      </c>
      <c r="B204" s="7" t="s">
        <v>779</v>
      </c>
      <c r="C204" s="7" t="s">
        <v>183</v>
      </c>
      <c r="D204" s="7" t="s">
        <v>782</v>
      </c>
      <c r="E204" s="8" t="s">
        <v>781</v>
      </c>
      <c r="F204" s="7" t="s">
        <v>975</v>
      </c>
      <c r="G204" s="8" t="s">
        <v>514</v>
      </c>
    </row>
    <row r="205" customFormat="false" ht="34.5" hidden="false" customHeight="true" outlineLevel="0" collapsed="false">
      <c r="A205" s="8" t="n">
        <v>204</v>
      </c>
      <c r="B205" s="7" t="s">
        <v>783</v>
      </c>
      <c r="C205" s="7" t="s">
        <v>183</v>
      </c>
      <c r="D205" s="7" t="s">
        <v>1096</v>
      </c>
      <c r="E205" s="8" t="s">
        <v>1223</v>
      </c>
      <c r="F205" s="7" t="s">
        <v>975</v>
      </c>
      <c r="G205" s="8" t="s">
        <v>514</v>
      </c>
    </row>
    <row r="206" customFormat="false" ht="15" hidden="false" customHeight="true" outlineLevel="0" collapsed="false">
      <c r="A206" s="8" t="n">
        <v>205</v>
      </c>
      <c r="B206" s="7" t="s">
        <v>786</v>
      </c>
      <c r="C206" s="7" t="s">
        <v>183</v>
      </c>
      <c r="D206" s="7" t="s">
        <v>789</v>
      </c>
      <c r="E206" s="8" t="s">
        <v>788</v>
      </c>
      <c r="F206" s="7" t="s">
        <v>1212</v>
      </c>
      <c r="G206" s="8" t="s">
        <v>514</v>
      </c>
    </row>
    <row r="207" customFormat="false" ht="15" hidden="false" customHeight="true" outlineLevel="0" collapsed="false">
      <c r="A207" s="8" t="n">
        <v>206</v>
      </c>
      <c r="B207" s="7" t="s">
        <v>790</v>
      </c>
      <c r="C207" s="7" t="s">
        <v>183</v>
      </c>
      <c r="D207" s="7" t="s">
        <v>789</v>
      </c>
      <c r="E207" s="8" t="s">
        <v>788</v>
      </c>
      <c r="F207" s="7" t="s">
        <v>1212</v>
      </c>
      <c r="G207" s="8" t="s">
        <v>514</v>
      </c>
    </row>
    <row r="208" customFormat="false" ht="57" hidden="false" customHeight="true" outlineLevel="0" collapsed="false">
      <c r="A208" s="8" t="n">
        <v>207</v>
      </c>
      <c r="B208" s="7" t="s">
        <v>792</v>
      </c>
      <c r="C208" s="7" t="s">
        <v>183</v>
      </c>
      <c r="D208" s="7" t="s">
        <v>1224</v>
      </c>
      <c r="E208" s="8" t="s">
        <v>1225</v>
      </c>
      <c r="F208" s="7" t="s">
        <v>975</v>
      </c>
      <c r="G208" s="8" t="s">
        <v>514</v>
      </c>
    </row>
    <row r="209" customFormat="false" ht="23.25" hidden="false" customHeight="true" outlineLevel="0" collapsed="false">
      <c r="A209" s="8" t="n">
        <v>208</v>
      </c>
      <c r="B209" s="7" t="s">
        <v>796</v>
      </c>
      <c r="C209" s="7" t="s">
        <v>183</v>
      </c>
      <c r="D209" s="7" t="s">
        <v>789</v>
      </c>
      <c r="E209" s="8" t="s">
        <v>798</v>
      </c>
      <c r="F209" s="7" t="s">
        <v>1212</v>
      </c>
      <c r="G209" s="8" t="s">
        <v>514</v>
      </c>
    </row>
    <row r="210" customFormat="false" ht="34.5" hidden="false" customHeight="true" outlineLevel="0" collapsed="false">
      <c r="A210" s="8" t="n">
        <v>209</v>
      </c>
      <c r="B210" s="7" t="s">
        <v>799</v>
      </c>
      <c r="C210" s="7" t="s">
        <v>183</v>
      </c>
      <c r="D210" s="7" t="s">
        <v>1226</v>
      </c>
      <c r="E210" s="8" t="s">
        <v>1227</v>
      </c>
      <c r="F210" s="7" t="s">
        <v>1120</v>
      </c>
      <c r="G210" s="8" t="s">
        <v>514</v>
      </c>
    </row>
    <row r="211" customFormat="false" ht="45.75" hidden="false" customHeight="true" outlineLevel="0" collapsed="false">
      <c r="A211" s="8" t="n">
        <v>210</v>
      </c>
      <c r="B211" s="7" t="s">
        <v>804</v>
      </c>
      <c r="C211" s="7" t="s">
        <v>183</v>
      </c>
      <c r="D211" s="7" t="s">
        <v>807</v>
      </c>
      <c r="E211" s="8" t="s">
        <v>806</v>
      </c>
      <c r="F211" s="7" t="s">
        <v>975</v>
      </c>
      <c r="G211" s="8" t="s">
        <v>514</v>
      </c>
    </row>
    <row r="212" customFormat="false" ht="23.25" hidden="false" customHeight="true" outlineLevel="0" collapsed="false">
      <c r="A212" s="8" t="n">
        <v>211</v>
      </c>
      <c r="B212" s="7" t="s">
        <v>808</v>
      </c>
      <c r="C212" s="7" t="s">
        <v>183</v>
      </c>
      <c r="D212" s="7" t="s">
        <v>1228</v>
      </c>
      <c r="E212" s="8" t="s">
        <v>1229</v>
      </c>
      <c r="F212" s="7" t="s">
        <v>1116</v>
      </c>
      <c r="G212" s="8" t="s">
        <v>514</v>
      </c>
    </row>
    <row r="213" customFormat="false" ht="15" hidden="false" customHeight="true" outlineLevel="0" collapsed="false">
      <c r="A213" s="8" t="n">
        <v>212</v>
      </c>
      <c r="B213" s="7" t="s">
        <v>812</v>
      </c>
      <c r="C213" s="7" t="s">
        <v>183</v>
      </c>
      <c r="D213" s="7" t="s">
        <v>817</v>
      </c>
      <c r="E213" s="8" t="s">
        <v>816</v>
      </c>
      <c r="F213" s="7" t="s">
        <v>1120</v>
      </c>
      <c r="G213" s="8" t="s">
        <v>514</v>
      </c>
    </row>
    <row r="214" customFormat="false" ht="23.25" hidden="false" customHeight="true" outlineLevel="0" collapsed="false">
      <c r="A214" s="8" t="n">
        <v>213</v>
      </c>
      <c r="B214" s="7" t="s">
        <v>818</v>
      </c>
      <c r="C214" s="7" t="s">
        <v>183</v>
      </c>
      <c r="D214" s="7" t="s">
        <v>1230</v>
      </c>
      <c r="E214" s="8" t="s">
        <v>1231</v>
      </c>
      <c r="F214" s="7" t="s">
        <v>1120</v>
      </c>
      <c r="G214" s="8" t="s">
        <v>514</v>
      </c>
    </row>
    <row r="215" customFormat="false" ht="15" hidden="false" customHeight="true" outlineLevel="0" collapsed="false">
      <c r="A215" s="8" t="n">
        <v>214</v>
      </c>
      <c r="B215" s="7" t="s">
        <v>822</v>
      </c>
      <c r="C215" s="7" t="s">
        <v>183</v>
      </c>
      <c r="D215" s="7" t="s">
        <v>825</v>
      </c>
      <c r="E215" s="8" t="s">
        <v>824</v>
      </c>
      <c r="F215" s="7" t="s">
        <v>1212</v>
      </c>
      <c r="G215" s="8" t="s">
        <v>514</v>
      </c>
    </row>
    <row r="216" customFormat="false" ht="15" hidden="false" customHeight="true" outlineLevel="0" collapsed="false">
      <c r="A216" s="8" t="n">
        <v>215</v>
      </c>
      <c r="B216" s="7" t="s">
        <v>826</v>
      </c>
      <c r="C216" s="7" t="s">
        <v>183</v>
      </c>
      <c r="D216" s="7" t="s">
        <v>829</v>
      </c>
      <c r="E216" s="8" t="s">
        <v>828</v>
      </c>
      <c r="F216" s="7" t="s">
        <v>1212</v>
      </c>
      <c r="G216" s="8" t="s">
        <v>514</v>
      </c>
    </row>
    <row r="217" customFormat="false" ht="34.5" hidden="false" customHeight="true" outlineLevel="0" collapsed="false">
      <c r="A217" s="8" t="n">
        <v>216</v>
      </c>
      <c r="B217" s="7" t="s">
        <v>830</v>
      </c>
      <c r="C217" s="7" t="s">
        <v>183</v>
      </c>
      <c r="D217" s="7" t="s">
        <v>832</v>
      </c>
      <c r="E217" s="8" t="s">
        <v>781</v>
      </c>
      <c r="F217" s="7" t="s">
        <v>975</v>
      </c>
      <c r="G217" s="8" t="s">
        <v>514</v>
      </c>
    </row>
    <row r="218" customFormat="false" ht="57" hidden="false" customHeight="true" outlineLevel="0" collapsed="false">
      <c r="A218" s="8" t="n">
        <v>217</v>
      </c>
      <c r="B218" s="7" t="s">
        <v>833</v>
      </c>
      <c r="C218" s="7" t="s">
        <v>183</v>
      </c>
      <c r="D218" s="7" t="s">
        <v>1232</v>
      </c>
      <c r="E218" s="8" t="s">
        <v>1233</v>
      </c>
      <c r="F218" s="7" t="s">
        <v>975</v>
      </c>
      <c r="G218" s="8" t="s">
        <v>514</v>
      </c>
    </row>
    <row r="219" customFormat="false" ht="34.5" hidden="false" customHeight="true" outlineLevel="0" collapsed="false">
      <c r="A219" s="8" t="n">
        <v>218</v>
      </c>
      <c r="B219" s="7" t="s">
        <v>837</v>
      </c>
      <c r="C219" s="7" t="s">
        <v>183</v>
      </c>
      <c r="D219" s="7" t="s">
        <v>841</v>
      </c>
      <c r="E219" s="8" t="s">
        <v>840</v>
      </c>
      <c r="F219" s="7" t="s">
        <v>1120</v>
      </c>
      <c r="G219" s="8" t="s">
        <v>514</v>
      </c>
    </row>
    <row r="220" customFormat="false" ht="15" hidden="false" customHeight="true" outlineLevel="0" collapsed="false">
      <c r="A220" s="8" t="n">
        <v>219</v>
      </c>
      <c r="B220" s="7" t="s">
        <v>842</v>
      </c>
      <c r="C220" s="7" t="s">
        <v>183</v>
      </c>
      <c r="D220" s="7" t="s">
        <v>1234</v>
      </c>
      <c r="E220" s="8" t="s">
        <v>1235</v>
      </c>
      <c r="F220" s="7" t="s">
        <v>1212</v>
      </c>
      <c r="G220" s="8" t="s">
        <v>514</v>
      </c>
    </row>
    <row r="221" customFormat="false" ht="23.25" hidden="false" customHeight="true" outlineLevel="0" collapsed="false">
      <c r="A221" s="8" t="n">
        <v>220</v>
      </c>
      <c r="B221" s="7" t="s">
        <v>846</v>
      </c>
      <c r="C221" s="7" t="s">
        <v>183</v>
      </c>
      <c r="D221" s="7" t="s">
        <v>1236</v>
      </c>
      <c r="E221" s="8" t="s">
        <v>1237</v>
      </c>
      <c r="F221" s="7" t="s">
        <v>1116</v>
      </c>
      <c r="G221" s="8" t="s">
        <v>514</v>
      </c>
    </row>
    <row r="222" customFormat="false" ht="15" hidden="false" customHeight="true" outlineLevel="0" collapsed="false">
      <c r="A222" s="8" t="n">
        <v>221</v>
      </c>
      <c r="B222" s="7" t="s">
        <v>851</v>
      </c>
      <c r="C222" s="7" t="s">
        <v>183</v>
      </c>
      <c r="D222" s="7" t="s">
        <v>854</v>
      </c>
      <c r="E222" s="8" t="s">
        <v>853</v>
      </c>
      <c r="F222" s="7" t="s">
        <v>1212</v>
      </c>
      <c r="G222" s="8" t="s">
        <v>514</v>
      </c>
    </row>
    <row r="223" customFormat="false" ht="57" hidden="false" customHeight="true" outlineLevel="0" collapsed="false">
      <c r="A223" s="8" t="n">
        <v>222</v>
      </c>
      <c r="B223" s="7" t="s">
        <v>855</v>
      </c>
      <c r="C223" s="7" t="s">
        <v>183</v>
      </c>
      <c r="D223" s="7" t="s">
        <v>1238</v>
      </c>
      <c r="E223" s="8" t="s">
        <v>928</v>
      </c>
      <c r="F223" s="7" t="s">
        <v>975</v>
      </c>
      <c r="G223" s="8" t="s">
        <v>514</v>
      </c>
    </row>
    <row r="224" customFormat="false" ht="23.25" hidden="false" customHeight="true" outlineLevel="0" collapsed="false">
      <c r="A224" s="8" t="n">
        <v>223</v>
      </c>
      <c r="B224" s="7" t="s">
        <v>859</v>
      </c>
      <c r="C224" s="7" t="s">
        <v>183</v>
      </c>
      <c r="D224" s="7" t="s">
        <v>1239</v>
      </c>
      <c r="E224" s="8" t="s">
        <v>1240</v>
      </c>
      <c r="F224" s="7" t="s">
        <v>1212</v>
      </c>
      <c r="G224" s="8" t="s">
        <v>514</v>
      </c>
    </row>
    <row r="225" customFormat="false" ht="79.5" hidden="false" customHeight="true" outlineLevel="0" collapsed="false">
      <c r="A225" s="8" t="n">
        <v>224</v>
      </c>
      <c r="B225" s="7" t="s">
        <v>864</v>
      </c>
      <c r="C225" s="7" t="s">
        <v>183</v>
      </c>
      <c r="D225" s="7" t="s">
        <v>1241</v>
      </c>
      <c r="E225" s="8" t="s">
        <v>1242</v>
      </c>
      <c r="F225" s="7" t="s">
        <v>975</v>
      </c>
      <c r="G225" s="8" t="s">
        <v>514</v>
      </c>
    </row>
    <row r="226" customFormat="false" ht="45.75" hidden="false" customHeight="true" outlineLevel="0" collapsed="false">
      <c r="A226" s="8" t="n">
        <v>225</v>
      </c>
      <c r="B226" s="7" t="s">
        <v>868</v>
      </c>
      <c r="C226" s="7" t="s">
        <v>183</v>
      </c>
      <c r="D226" s="7" t="s">
        <v>870</v>
      </c>
      <c r="E226" s="8" t="s">
        <v>781</v>
      </c>
      <c r="F226" s="7" t="s">
        <v>975</v>
      </c>
      <c r="G226" s="8" t="s">
        <v>514</v>
      </c>
    </row>
    <row r="227" customFormat="false" ht="45.75" hidden="false" customHeight="true" outlineLevel="0" collapsed="false">
      <c r="A227" s="8" t="n">
        <v>226</v>
      </c>
      <c r="B227" s="7" t="s">
        <v>871</v>
      </c>
      <c r="C227" s="7" t="s">
        <v>183</v>
      </c>
      <c r="D227" s="7" t="s">
        <v>873</v>
      </c>
      <c r="E227" s="8" t="s">
        <v>781</v>
      </c>
      <c r="F227" s="7" t="s">
        <v>975</v>
      </c>
      <c r="G227" s="8" t="s">
        <v>514</v>
      </c>
    </row>
    <row r="228" customFormat="false" ht="45.75" hidden="false" customHeight="true" outlineLevel="0" collapsed="false">
      <c r="A228" s="8" t="n">
        <v>227</v>
      </c>
      <c r="B228" s="7" t="s">
        <v>874</v>
      </c>
      <c r="C228" s="7" t="s">
        <v>183</v>
      </c>
      <c r="D228" s="7" t="s">
        <v>876</v>
      </c>
      <c r="E228" s="8" t="s">
        <v>781</v>
      </c>
      <c r="F228" s="7" t="s">
        <v>975</v>
      </c>
      <c r="G228" s="8" t="s">
        <v>514</v>
      </c>
    </row>
    <row r="229" customFormat="false" ht="34.5" hidden="false" customHeight="true" outlineLevel="0" collapsed="false">
      <c r="A229" s="8" t="n">
        <v>228</v>
      </c>
      <c r="B229" s="7" t="s">
        <v>877</v>
      </c>
      <c r="C229" s="7" t="s">
        <v>183</v>
      </c>
      <c r="D229" s="7" t="s">
        <v>1243</v>
      </c>
      <c r="E229" s="8" t="s">
        <v>1244</v>
      </c>
      <c r="F229" s="7" t="s">
        <v>1120</v>
      </c>
      <c r="G229" s="8" t="s">
        <v>514</v>
      </c>
    </row>
    <row r="230" customFormat="false" ht="23.25" hidden="false" customHeight="true" outlineLevel="0" collapsed="false">
      <c r="A230" s="8" t="n">
        <v>229</v>
      </c>
      <c r="B230" s="7" t="s">
        <v>881</v>
      </c>
      <c r="C230" s="7" t="s">
        <v>183</v>
      </c>
      <c r="D230" s="7" t="s">
        <v>789</v>
      </c>
      <c r="E230" s="8" t="s">
        <v>798</v>
      </c>
      <c r="F230" s="7" t="s">
        <v>1212</v>
      </c>
      <c r="G230" s="8" t="s">
        <v>514</v>
      </c>
    </row>
    <row r="231" customFormat="false" ht="23.25" hidden="false" customHeight="true" outlineLevel="0" collapsed="false">
      <c r="A231" s="8" t="n">
        <v>230</v>
      </c>
      <c r="B231" s="7" t="s">
        <v>883</v>
      </c>
      <c r="C231" s="7" t="s">
        <v>183</v>
      </c>
      <c r="D231" s="7" t="s">
        <v>789</v>
      </c>
      <c r="E231" s="8" t="s">
        <v>798</v>
      </c>
      <c r="F231" s="7" t="s">
        <v>1212</v>
      </c>
      <c r="G231" s="8" t="s">
        <v>514</v>
      </c>
    </row>
    <row r="232" customFormat="false" ht="23.25" hidden="false" customHeight="true" outlineLevel="0" collapsed="false">
      <c r="A232" s="8" t="n">
        <v>231</v>
      </c>
      <c r="B232" s="7" t="s">
        <v>885</v>
      </c>
      <c r="C232" s="7" t="s">
        <v>183</v>
      </c>
      <c r="D232" s="7" t="s">
        <v>1245</v>
      </c>
      <c r="E232" s="8" t="s">
        <v>1246</v>
      </c>
      <c r="F232" s="7" t="s">
        <v>1120</v>
      </c>
      <c r="G232" s="8" t="s">
        <v>514</v>
      </c>
    </row>
    <row r="233" customFormat="false" ht="23.25" hidden="false" customHeight="true" outlineLevel="0" collapsed="false">
      <c r="A233" s="8" t="n">
        <v>232</v>
      </c>
      <c r="B233" s="7" t="s">
        <v>890</v>
      </c>
      <c r="C233" s="7" t="s">
        <v>183</v>
      </c>
      <c r="D233" s="7" t="s">
        <v>1247</v>
      </c>
      <c r="E233" s="8" t="s">
        <v>1248</v>
      </c>
      <c r="F233" s="7" t="s">
        <v>1120</v>
      </c>
      <c r="G233" s="8" t="s">
        <v>514</v>
      </c>
    </row>
    <row r="234" customFormat="false" ht="23.25" hidden="false" customHeight="true" outlineLevel="0" collapsed="false">
      <c r="A234" s="8" t="n">
        <v>233</v>
      </c>
      <c r="B234" s="7" t="s">
        <v>895</v>
      </c>
      <c r="C234" s="7" t="s">
        <v>183</v>
      </c>
      <c r="D234" s="7" t="s">
        <v>1249</v>
      </c>
      <c r="E234" s="8" t="s">
        <v>1250</v>
      </c>
      <c r="F234" s="7" t="s">
        <v>1116</v>
      </c>
      <c r="G234" s="8" t="s">
        <v>514</v>
      </c>
    </row>
    <row r="235" customFormat="false" ht="23.25" hidden="false" customHeight="true" outlineLevel="0" collapsed="false">
      <c r="A235" s="8" t="n">
        <v>234</v>
      </c>
      <c r="B235" s="7" t="s">
        <v>899</v>
      </c>
      <c r="C235" s="7" t="s">
        <v>183</v>
      </c>
      <c r="D235" s="7" t="s">
        <v>902</v>
      </c>
      <c r="E235" s="8" t="s">
        <v>901</v>
      </c>
      <c r="F235" s="7" t="s">
        <v>975</v>
      </c>
      <c r="G235" s="8" t="s">
        <v>514</v>
      </c>
    </row>
    <row r="236" customFormat="false" ht="34.5" hidden="false" customHeight="true" outlineLevel="0" collapsed="false">
      <c r="A236" s="8" t="n">
        <v>235</v>
      </c>
      <c r="B236" s="7" t="s">
        <v>903</v>
      </c>
      <c r="C236" s="7" t="s">
        <v>183</v>
      </c>
      <c r="D236" s="7" t="s">
        <v>1251</v>
      </c>
      <c r="E236" s="8" t="s">
        <v>1252</v>
      </c>
      <c r="F236" s="7" t="s">
        <v>1116</v>
      </c>
      <c r="G236" s="8" t="s">
        <v>514</v>
      </c>
    </row>
    <row r="237" customFormat="false" ht="45.75" hidden="false" customHeight="true" outlineLevel="0" collapsed="false">
      <c r="A237" s="8" t="n">
        <v>236</v>
      </c>
      <c r="B237" s="7" t="s">
        <v>907</v>
      </c>
      <c r="C237" s="7" t="s">
        <v>183</v>
      </c>
      <c r="D237" s="7" t="s">
        <v>909</v>
      </c>
      <c r="E237" s="8" t="s">
        <v>781</v>
      </c>
      <c r="F237" s="7" t="s">
        <v>975</v>
      </c>
      <c r="G237" s="8" t="s">
        <v>514</v>
      </c>
    </row>
    <row r="238" customFormat="false" ht="34.5" hidden="false" customHeight="true" outlineLevel="0" collapsed="false">
      <c r="A238" s="8" t="n">
        <v>237</v>
      </c>
      <c r="B238" s="7" t="s">
        <v>910</v>
      </c>
      <c r="C238" s="7" t="s">
        <v>183</v>
      </c>
      <c r="D238" s="7" t="s">
        <v>1253</v>
      </c>
      <c r="E238" s="8" t="s">
        <v>1254</v>
      </c>
      <c r="F238" s="7" t="s">
        <v>975</v>
      </c>
      <c r="G238" s="8" t="s">
        <v>514</v>
      </c>
    </row>
    <row r="239" customFormat="false" ht="23.25" hidden="false" customHeight="true" outlineLevel="0" collapsed="false">
      <c r="A239" s="8" t="n">
        <v>238</v>
      </c>
      <c r="B239" s="7" t="s">
        <v>914</v>
      </c>
      <c r="C239" s="7" t="s">
        <v>183</v>
      </c>
      <c r="D239" s="7" t="s">
        <v>917</v>
      </c>
      <c r="E239" s="8" t="s">
        <v>916</v>
      </c>
      <c r="F239" s="7" t="s">
        <v>1120</v>
      </c>
      <c r="G239" s="8" t="s">
        <v>514</v>
      </c>
    </row>
    <row r="240" customFormat="false" ht="23.25" hidden="false" customHeight="true" outlineLevel="0" collapsed="false">
      <c r="A240" s="8" t="n">
        <v>239</v>
      </c>
      <c r="B240" s="7" t="s">
        <v>918</v>
      </c>
      <c r="C240" s="7" t="s">
        <v>183</v>
      </c>
      <c r="D240" s="7" t="s">
        <v>1255</v>
      </c>
      <c r="E240" s="8" t="s">
        <v>1256</v>
      </c>
      <c r="F240" s="7" t="s">
        <v>975</v>
      </c>
      <c r="G240" s="8" t="s">
        <v>514</v>
      </c>
    </row>
    <row r="241" customFormat="false" ht="23.25" hidden="false" customHeight="true" outlineLevel="0" collapsed="false">
      <c r="A241" s="8" t="n">
        <v>240</v>
      </c>
      <c r="B241" s="7" t="s">
        <v>922</v>
      </c>
      <c r="C241" s="7" t="s">
        <v>183</v>
      </c>
      <c r="D241" s="7" t="s">
        <v>1257</v>
      </c>
      <c r="E241" s="8" t="s">
        <v>1258</v>
      </c>
      <c r="F241" s="7" t="s">
        <v>1116</v>
      </c>
      <c r="G241" s="8" t="s">
        <v>514</v>
      </c>
    </row>
    <row r="242" customFormat="false" ht="57" hidden="false" customHeight="true" outlineLevel="0" collapsed="false">
      <c r="A242" s="8" t="n">
        <v>241</v>
      </c>
      <c r="B242" s="7" t="s">
        <v>926</v>
      </c>
      <c r="C242" s="7" t="s">
        <v>183</v>
      </c>
      <c r="D242" s="7" t="s">
        <v>1259</v>
      </c>
      <c r="E242" s="8" t="s">
        <v>928</v>
      </c>
      <c r="F242" s="7" t="s">
        <v>975</v>
      </c>
      <c r="G242" s="8" t="s">
        <v>514</v>
      </c>
    </row>
    <row r="243" customFormat="false" ht="15" hidden="false" customHeight="true" outlineLevel="0" collapsed="false">
      <c r="A243" s="8" t="n">
        <v>242</v>
      </c>
      <c r="B243" s="7" t="s">
        <v>930</v>
      </c>
      <c r="C243" s="7" t="s">
        <v>183</v>
      </c>
      <c r="D243" s="7" t="s">
        <v>789</v>
      </c>
      <c r="E243" s="8" t="s">
        <v>788</v>
      </c>
      <c r="F243" s="7" t="s">
        <v>1212</v>
      </c>
      <c r="G243" s="8" t="s">
        <v>514</v>
      </c>
    </row>
    <row r="244" customFormat="false" ht="15" hidden="false" customHeight="true" outlineLevel="0" collapsed="false">
      <c r="A244" s="8" t="n">
        <v>243</v>
      </c>
      <c r="B244" s="7" t="s">
        <v>932</v>
      </c>
      <c r="C244" s="7" t="s">
        <v>183</v>
      </c>
      <c r="D244" s="7" t="s">
        <v>935</v>
      </c>
      <c r="E244" s="8" t="s">
        <v>934</v>
      </c>
      <c r="F244" s="7" t="s">
        <v>1212</v>
      </c>
      <c r="G244" s="8" t="s">
        <v>514</v>
      </c>
    </row>
    <row r="245" customFormat="false" ht="23.25" hidden="false" customHeight="true" outlineLevel="0" collapsed="false">
      <c r="A245" s="8" t="n">
        <v>244</v>
      </c>
      <c r="B245" s="7" t="s">
        <v>936</v>
      </c>
      <c r="C245" s="7" t="s">
        <v>487</v>
      </c>
      <c r="D245" s="7" t="s">
        <v>939</v>
      </c>
      <c r="E245" s="8" t="s">
        <v>938</v>
      </c>
      <c r="F245" s="7" t="s">
        <v>1172</v>
      </c>
      <c r="G245" s="8" t="s">
        <v>514</v>
      </c>
    </row>
    <row r="246" customFormat="false" ht="34.5" hidden="false" customHeight="true" outlineLevel="0" collapsed="false">
      <c r="A246" s="8" t="n">
        <v>245</v>
      </c>
      <c r="B246" s="7" t="s">
        <v>940</v>
      </c>
      <c r="C246" s="7" t="s">
        <v>487</v>
      </c>
      <c r="D246" s="7" t="s">
        <v>1260</v>
      </c>
      <c r="E246" s="8" t="s">
        <v>1261</v>
      </c>
      <c r="F246" s="7" t="s">
        <v>975</v>
      </c>
      <c r="G246" s="8" t="s">
        <v>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24"/>
    <col collapsed="false" customWidth="true" hidden="false" outlineLevel="0" max="4" min="4" style="1" width="32"/>
    <col collapsed="false" customWidth="true" hidden="false" outlineLevel="0" max="5" min="5" style="1" width="10"/>
    <col collapsed="false" customWidth="true" hidden="false" outlineLevel="0" max="6" min="6" style="1" width="42"/>
    <col collapsed="false" customWidth="true" hidden="false" outlineLevel="0" max="7" min="7" style="1" width="64"/>
  </cols>
  <sheetData>
    <row r="1" customFormat="false" ht="15" hidden="false" customHeight="true" outlineLevel="0" collapsed="false">
      <c r="A1" s="2" t="s">
        <v>0</v>
      </c>
      <c r="B1" s="2" t="s">
        <v>1262</v>
      </c>
      <c r="C1" s="2" t="s">
        <v>1263</v>
      </c>
      <c r="D1" s="2" t="s">
        <v>1264</v>
      </c>
      <c r="E1" s="2" t="s">
        <v>1265</v>
      </c>
      <c r="F1" s="2" t="s">
        <v>1266</v>
      </c>
      <c r="G1" s="2" t="s">
        <v>1267</v>
      </c>
    </row>
    <row r="2" customFormat="false" ht="34.5" hidden="false" customHeight="true" outlineLevel="0" collapsed="false">
      <c r="A2" s="10" t="n">
        <v>1</v>
      </c>
      <c r="B2" s="11" t="s">
        <v>1268</v>
      </c>
      <c r="C2" s="10" t="s">
        <v>1269</v>
      </c>
      <c r="D2" s="11" t="s">
        <v>487</v>
      </c>
      <c r="E2" s="10" t="s">
        <v>1270</v>
      </c>
      <c r="F2" s="10" t="s">
        <v>1271</v>
      </c>
      <c r="G2" s="11" t="s">
        <v>1272</v>
      </c>
    </row>
    <row r="3" customFormat="false" ht="23.25" hidden="false" customHeight="true" outlineLevel="0" collapsed="false">
      <c r="A3" s="10" t="n">
        <v>2</v>
      </c>
      <c r="B3" s="11" t="s">
        <v>1273</v>
      </c>
      <c r="C3" s="10" t="s">
        <v>1274</v>
      </c>
      <c r="D3" s="11" t="s">
        <v>183</v>
      </c>
      <c r="E3" s="10" t="s">
        <v>345</v>
      </c>
      <c r="F3" s="10" t="s">
        <v>1275</v>
      </c>
      <c r="G3" s="11" t="s">
        <v>1276</v>
      </c>
    </row>
    <row r="4" customFormat="false" ht="23.25" hidden="false" customHeight="true" outlineLevel="0" collapsed="false">
      <c r="A4" s="10" t="n">
        <v>3</v>
      </c>
      <c r="B4" s="11" t="s">
        <v>1277</v>
      </c>
      <c r="C4" s="10" t="s">
        <v>1278</v>
      </c>
      <c r="D4" s="11" t="s">
        <v>183</v>
      </c>
      <c r="E4" s="10" t="s">
        <v>1279</v>
      </c>
      <c r="F4" s="10" t="s">
        <v>798</v>
      </c>
      <c r="G4" s="11" t="s">
        <v>1280</v>
      </c>
    </row>
    <row r="5" customFormat="false" ht="45.75" hidden="false" customHeight="true" outlineLevel="0" collapsed="false">
      <c r="A5" s="10" t="n">
        <v>4</v>
      </c>
      <c r="B5" s="11" t="s">
        <v>1281</v>
      </c>
      <c r="C5" s="10" t="s">
        <v>1282</v>
      </c>
      <c r="D5" s="11" t="s">
        <v>183</v>
      </c>
      <c r="E5" s="10" t="s">
        <v>137</v>
      </c>
      <c r="F5" s="10" t="s">
        <v>1283</v>
      </c>
      <c r="G5" s="11" t="s">
        <v>1284</v>
      </c>
    </row>
    <row r="6" customFormat="false" ht="23.25" hidden="false" customHeight="true" outlineLevel="0" collapsed="false">
      <c r="A6" s="10" t="n">
        <v>5</v>
      </c>
      <c r="B6" s="11" t="s">
        <v>1285</v>
      </c>
      <c r="C6" s="10" t="s">
        <v>1286</v>
      </c>
      <c r="D6" s="11" t="s">
        <v>487</v>
      </c>
      <c r="E6" s="10" t="s">
        <v>1287</v>
      </c>
      <c r="F6" s="10" t="s">
        <v>1288</v>
      </c>
      <c r="G6" s="11" t="s">
        <v>1289</v>
      </c>
    </row>
    <row r="7" customFormat="false" ht="23.25" hidden="false" customHeight="true" outlineLevel="0" collapsed="false">
      <c r="A7" s="10" t="n">
        <v>6</v>
      </c>
      <c r="B7" s="11" t="s">
        <v>1290</v>
      </c>
      <c r="C7" s="10" t="s">
        <v>1291</v>
      </c>
      <c r="D7" s="11" t="s">
        <v>183</v>
      </c>
      <c r="E7" s="10" t="s">
        <v>814</v>
      </c>
      <c r="F7" s="10" t="s">
        <v>1292</v>
      </c>
      <c r="G7" s="11" t="s">
        <v>1293</v>
      </c>
    </row>
    <row r="8" customFormat="false" ht="15" hidden="false" customHeight="true" outlineLevel="0" collapsed="false">
      <c r="A8" s="10" t="n">
        <v>7</v>
      </c>
      <c r="B8" s="11" t="s">
        <v>1294</v>
      </c>
      <c r="C8" s="10" t="s">
        <v>1295</v>
      </c>
      <c r="D8" s="11" t="s">
        <v>183</v>
      </c>
      <c r="E8" s="10" t="s">
        <v>814</v>
      </c>
      <c r="F8" s="10" t="s">
        <v>1296</v>
      </c>
      <c r="G8" s="11" t="s">
        <v>1297</v>
      </c>
    </row>
    <row r="9" customFormat="false" ht="23.25" hidden="false" customHeight="true" outlineLevel="0" collapsed="false">
      <c r="A9" s="10" t="n">
        <v>8</v>
      </c>
      <c r="B9" s="11" t="s">
        <v>1298</v>
      </c>
      <c r="C9" s="10" t="s">
        <v>1299</v>
      </c>
      <c r="D9" s="11" t="s">
        <v>183</v>
      </c>
      <c r="E9" s="10" t="s">
        <v>15</v>
      </c>
      <c r="F9" s="10" t="s">
        <v>1300</v>
      </c>
      <c r="G9" s="11" t="s">
        <v>1301</v>
      </c>
    </row>
    <row r="10" customFormat="false" ht="23.25" hidden="false" customHeight="true" outlineLevel="0" collapsed="false">
      <c r="A10" s="10" t="n">
        <v>9</v>
      </c>
      <c r="B10" s="11" t="s">
        <v>1302</v>
      </c>
      <c r="C10" s="10" t="s">
        <v>1303</v>
      </c>
      <c r="D10" s="11" t="s">
        <v>183</v>
      </c>
      <c r="E10" s="10" t="s">
        <v>290</v>
      </c>
      <c r="F10" s="10" t="s">
        <v>1304</v>
      </c>
      <c r="G10" s="11" t="s">
        <v>1305</v>
      </c>
    </row>
    <row r="11" customFormat="false" ht="34.5" hidden="false" customHeight="true" outlineLevel="0" collapsed="false">
      <c r="A11" s="10" t="n">
        <v>10</v>
      </c>
      <c r="B11" s="11" t="s">
        <v>1306</v>
      </c>
      <c r="C11" s="10" t="s">
        <v>1307</v>
      </c>
      <c r="D11" s="11" t="s">
        <v>183</v>
      </c>
      <c r="E11" s="10" t="s">
        <v>290</v>
      </c>
      <c r="F11" s="10" t="s">
        <v>1308</v>
      </c>
      <c r="G11" s="11" t="s">
        <v>1309</v>
      </c>
    </row>
    <row r="12" customFormat="false" ht="45.75" hidden="false" customHeight="true" outlineLevel="0" collapsed="false">
      <c r="A12" s="10" t="n">
        <v>11</v>
      </c>
      <c r="B12" s="11" t="s">
        <v>1310</v>
      </c>
      <c r="C12" s="10" t="s">
        <v>1311</v>
      </c>
      <c r="D12" s="11" t="s">
        <v>183</v>
      </c>
      <c r="E12" s="10" t="s">
        <v>137</v>
      </c>
      <c r="F12" s="10" t="s">
        <v>1312</v>
      </c>
      <c r="G12" s="11" t="s">
        <v>1313</v>
      </c>
    </row>
    <row r="13" customFormat="false" ht="34.5" hidden="false" customHeight="true" outlineLevel="0" collapsed="false">
      <c r="A13" s="10" t="n">
        <v>12</v>
      </c>
      <c r="B13" s="11" t="s">
        <v>1314</v>
      </c>
      <c r="C13" s="10" t="s">
        <v>1315</v>
      </c>
      <c r="D13" s="11" t="s">
        <v>183</v>
      </c>
      <c r="E13" s="10" t="s">
        <v>290</v>
      </c>
      <c r="F13" s="10" t="s">
        <v>1316</v>
      </c>
      <c r="G13" s="11" t="s">
        <v>1317</v>
      </c>
    </row>
    <row r="14" customFormat="false" ht="45.75" hidden="false" customHeight="true" outlineLevel="0" collapsed="false">
      <c r="A14" s="10" t="n">
        <v>13</v>
      </c>
      <c r="B14" s="11" t="s">
        <v>1318</v>
      </c>
      <c r="C14" s="10" t="s">
        <v>1319</v>
      </c>
      <c r="D14" s="11" t="s">
        <v>183</v>
      </c>
      <c r="E14" s="10" t="s">
        <v>137</v>
      </c>
      <c r="F14" s="10" t="s">
        <v>1320</v>
      </c>
      <c r="G14" s="11" t="s">
        <v>1321</v>
      </c>
    </row>
    <row r="15" customFormat="false" ht="34.5" hidden="false" customHeight="true" outlineLevel="0" collapsed="false">
      <c r="A15" s="10" t="n">
        <v>14</v>
      </c>
      <c r="B15" s="11" t="s">
        <v>1322</v>
      </c>
      <c r="C15" s="10" t="s">
        <v>1323</v>
      </c>
      <c r="D15" s="11" t="s">
        <v>183</v>
      </c>
      <c r="E15" s="10" t="s">
        <v>290</v>
      </c>
      <c r="F15" s="10" t="s">
        <v>1324</v>
      </c>
      <c r="G15" s="11" t="s">
        <v>1325</v>
      </c>
    </row>
    <row r="16" customFormat="false" ht="34.5" hidden="false" customHeight="true" outlineLevel="0" collapsed="false">
      <c r="A16" s="10" t="n">
        <v>15</v>
      </c>
      <c r="B16" s="11" t="s">
        <v>1326</v>
      </c>
      <c r="C16" s="10" t="s">
        <v>1327</v>
      </c>
      <c r="D16" s="11" t="s">
        <v>183</v>
      </c>
      <c r="E16" s="10" t="s">
        <v>290</v>
      </c>
      <c r="F16" s="10" t="s">
        <v>1328</v>
      </c>
      <c r="G16" s="11" t="s">
        <v>1329</v>
      </c>
    </row>
    <row r="17" customFormat="false" ht="23.25" hidden="false" customHeight="true" outlineLevel="0" collapsed="false">
      <c r="A17" s="10" t="n">
        <v>16</v>
      </c>
      <c r="B17" s="11" t="s">
        <v>1330</v>
      </c>
      <c r="C17" s="10" t="s">
        <v>1331</v>
      </c>
      <c r="D17" s="11" t="s">
        <v>183</v>
      </c>
      <c r="E17" s="10" t="s">
        <v>290</v>
      </c>
      <c r="F17" s="10" t="s">
        <v>781</v>
      </c>
      <c r="G17" s="11" t="s">
        <v>1332</v>
      </c>
    </row>
    <row r="18" customFormat="false" ht="34.5" hidden="false" customHeight="true" outlineLevel="0" collapsed="false">
      <c r="A18" s="10" t="n">
        <v>17</v>
      </c>
      <c r="B18" s="11" t="s">
        <v>1333</v>
      </c>
      <c r="C18" s="10" t="s">
        <v>1334</v>
      </c>
      <c r="D18" s="11" t="s">
        <v>183</v>
      </c>
      <c r="E18" s="10" t="s">
        <v>290</v>
      </c>
      <c r="F18" s="10" t="s">
        <v>1304</v>
      </c>
      <c r="G18" s="11" t="s">
        <v>1335</v>
      </c>
    </row>
    <row r="19" customFormat="false" ht="34.5" hidden="false" customHeight="true" outlineLevel="0" collapsed="false">
      <c r="A19" s="10" t="n">
        <v>18</v>
      </c>
      <c r="B19" s="11" t="s">
        <v>1336</v>
      </c>
      <c r="C19" s="10" t="s">
        <v>1337</v>
      </c>
      <c r="D19" s="11" t="s">
        <v>183</v>
      </c>
      <c r="E19" s="10" t="s">
        <v>290</v>
      </c>
      <c r="F19" s="10" t="s">
        <v>1338</v>
      </c>
      <c r="G19" s="11" t="s">
        <v>1339</v>
      </c>
    </row>
    <row r="20" customFormat="false" ht="34.5" hidden="false" customHeight="true" outlineLevel="0" collapsed="false">
      <c r="A20" s="10" t="n">
        <v>19</v>
      </c>
      <c r="B20" s="11" t="s">
        <v>1340</v>
      </c>
      <c r="C20" s="10" t="s">
        <v>1341</v>
      </c>
      <c r="D20" s="11" t="s">
        <v>183</v>
      </c>
      <c r="E20" s="10" t="s">
        <v>290</v>
      </c>
      <c r="F20" s="10" t="s">
        <v>1342</v>
      </c>
      <c r="G20" s="11" t="s">
        <v>1343</v>
      </c>
    </row>
    <row r="21" customFormat="false" ht="23.25" hidden="false" customHeight="true" outlineLevel="0" collapsed="false">
      <c r="A21" s="10" t="n">
        <v>20</v>
      </c>
      <c r="B21" s="11" t="s">
        <v>1344</v>
      </c>
      <c r="C21" s="10" t="s">
        <v>1345</v>
      </c>
      <c r="D21" s="11" t="s">
        <v>183</v>
      </c>
      <c r="E21" s="10" t="s">
        <v>290</v>
      </c>
      <c r="F21" s="10" t="s">
        <v>1346</v>
      </c>
      <c r="G21" s="11" t="s">
        <v>1347</v>
      </c>
    </row>
    <row r="22" customFormat="false" ht="45.75" hidden="false" customHeight="true" outlineLevel="0" collapsed="false">
      <c r="A22" s="10" t="n">
        <v>21</v>
      </c>
      <c r="B22" s="11" t="s">
        <v>1348</v>
      </c>
      <c r="C22" s="10" t="s">
        <v>1349</v>
      </c>
      <c r="D22" s="11" t="s">
        <v>183</v>
      </c>
      <c r="E22" s="10" t="s">
        <v>137</v>
      </c>
      <c r="F22" s="10" t="s">
        <v>1350</v>
      </c>
      <c r="G22" s="11" t="s">
        <v>1351</v>
      </c>
    </row>
    <row r="23" customFormat="false" ht="23.25" hidden="false" customHeight="true" outlineLevel="0" collapsed="false">
      <c r="A23" s="10" t="n">
        <v>22</v>
      </c>
      <c r="B23" s="11" t="s">
        <v>1352</v>
      </c>
      <c r="C23" s="10" t="s">
        <v>1353</v>
      </c>
      <c r="D23" s="11" t="s">
        <v>183</v>
      </c>
      <c r="E23" s="10" t="s">
        <v>290</v>
      </c>
      <c r="F23" s="10" t="s">
        <v>1354</v>
      </c>
      <c r="G23" s="11" t="s">
        <v>1355</v>
      </c>
    </row>
    <row r="24" customFormat="false" ht="45.75" hidden="false" customHeight="true" outlineLevel="0" collapsed="false">
      <c r="A24" s="10" t="n">
        <v>23</v>
      </c>
      <c r="B24" s="11" t="s">
        <v>1356</v>
      </c>
      <c r="C24" s="10" t="s">
        <v>1357</v>
      </c>
      <c r="D24" s="11" t="s">
        <v>183</v>
      </c>
      <c r="E24" s="10" t="s">
        <v>290</v>
      </c>
      <c r="F24" s="10" t="s">
        <v>1358</v>
      </c>
      <c r="G24" s="11" t="s">
        <v>1359</v>
      </c>
    </row>
    <row r="25" customFormat="false" ht="23.25" hidden="false" customHeight="true" outlineLevel="0" collapsed="false">
      <c r="A25" s="10" t="n">
        <v>24</v>
      </c>
      <c r="B25" s="11" t="s">
        <v>1360</v>
      </c>
      <c r="C25" s="10" t="s">
        <v>1361</v>
      </c>
      <c r="D25" s="11" t="s">
        <v>183</v>
      </c>
      <c r="E25" s="10" t="s">
        <v>290</v>
      </c>
      <c r="F25" s="10" t="s">
        <v>1362</v>
      </c>
      <c r="G25" s="11" t="s">
        <v>1363</v>
      </c>
    </row>
    <row r="26" customFormat="false" ht="45.75" hidden="false" customHeight="true" outlineLevel="0" collapsed="false">
      <c r="A26" s="10" t="n">
        <v>25</v>
      </c>
      <c r="B26" s="11" t="s">
        <v>1364</v>
      </c>
      <c r="C26" s="10" t="s">
        <v>1365</v>
      </c>
      <c r="D26" s="11" t="s">
        <v>183</v>
      </c>
      <c r="E26" s="10" t="s">
        <v>1366</v>
      </c>
      <c r="F26" s="10" t="s">
        <v>1367</v>
      </c>
      <c r="G26" s="11" t="s">
        <v>1368</v>
      </c>
    </row>
    <row r="27" customFormat="false" ht="34.5" hidden="false" customHeight="true" outlineLevel="0" collapsed="false">
      <c r="A27" s="10" t="n">
        <v>26</v>
      </c>
      <c r="B27" s="11" t="s">
        <v>1369</v>
      </c>
      <c r="C27" s="10" t="s">
        <v>1370</v>
      </c>
      <c r="D27" s="11" t="s">
        <v>183</v>
      </c>
      <c r="E27" s="10" t="s">
        <v>137</v>
      </c>
      <c r="F27" s="10" t="s">
        <v>1371</v>
      </c>
      <c r="G27" s="11" t="s">
        <v>1372</v>
      </c>
    </row>
    <row r="28" customFormat="false" ht="23.25" hidden="false" customHeight="true" outlineLevel="0" collapsed="false">
      <c r="A28" s="10" t="n">
        <v>27</v>
      </c>
      <c r="B28" s="11" t="s">
        <v>1373</v>
      </c>
      <c r="C28" s="10" t="s">
        <v>1374</v>
      </c>
      <c r="D28" s="11" t="s">
        <v>183</v>
      </c>
      <c r="E28" s="10" t="s">
        <v>137</v>
      </c>
      <c r="F28" s="10" t="s">
        <v>1375</v>
      </c>
      <c r="G28" s="11" t="s">
        <v>1376</v>
      </c>
    </row>
    <row r="29" customFormat="false" ht="23.25" hidden="false" customHeight="true" outlineLevel="0" collapsed="false">
      <c r="A29" s="10" t="n">
        <v>28</v>
      </c>
      <c r="B29" s="11" t="s">
        <v>1377</v>
      </c>
      <c r="C29" s="10" t="s">
        <v>1378</v>
      </c>
      <c r="D29" s="11" t="s">
        <v>183</v>
      </c>
      <c r="E29" s="10" t="s">
        <v>290</v>
      </c>
      <c r="F29" s="10" t="s">
        <v>448</v>
      </c>
      <c r="G29" s="11" t="s">
        <v>1379</v>
      </c>
    </row>
    <row r="30" customFormat="false" ht="45.75" hidden="false" customHeight="true" outlineLevel="0" collapsed="false">
      <c r="A30" s="10" t="n">
        <v>29</v>
      </c>
      <c r="B30" s="11" t="s">
        <v>1380</v>
      </c>
      <c r="C30" s="10" t="s">
        <v>1381</v>
      </c>
      <c r="D30" s="11" t="s">
        <v>183</v>
      </c>
      <c r="E30" s="10" t="s">
        <v>290</v>
      </c>
      <c r="F30" s="10" t="s">
        <v>1382</v>
      </c>
      <c r="G30" s="11" t="s">
        <v>1383</v>
      </c>
    </row>
    <row r="31" customFormat="false" ht="34.5" hidden="false" customHeight="true" outlineLevel="0" collapsed="false">
      <c r="A31" s="10" t="n">
        <v>30</v>
      </c>
      <c r="B31" s="11" t="s">
        <v>1384</v>
      </c>
      <c r="C31" s="10" t="s">
        <v>1385</v>
      </c>
      <c r="D31" s="11" t="s">
        <v>183</v>
      </c>
      <c r="E31" s="10" t="s">
        <v>290</v>
      </c>
      <c r="F31" s="10" t="s">
        <v>1386</v>
      </c>
      <c r="G31" s="11" t="s">
        <v>1387</v>
      </c>
    </row>
    <row r="32" customFormat="false" ht="34.5" hidden="false" customHeight="true" outlineLevel="0" collapsed="false">
      <c r="A32" s="10" t="n">
        <v>31</v>
      </c>
      <c r="B32" s="11" t="s">
        <v>1388</v>
      </c>
      <c r="C32" s="10" t="s">
        <v>1389</v>
      </c>
      <c r="D32" s="11" t="s">
        <v>183</v>
      </c>
      <c r="E32" s="10" t="s">
        <v>290</v>
      </c>
      <c r="F32" s="10" t="s">
        <v>1390</v>
      </c>
      <c r="G32" s="11" t="s">
        <v>1387</v>
      </c>
    </row>
    <row r="33" customFormat="false" ht="34.5" hidden="false" customHeight="true" outlineLevel="0" collapsed="false">
      <c r="A33" s="10" t="n">
        <v>32</v>
      </c>
      <c r="B33" s="11" t="s">
        <v>1391</v>
      </c>
      <c r="C33" s="10" t="s">
        <v>1392</v>
      </c>
      <c r="D33" s="11" t="s">
        <v>183</v>
      </c>
      <c r="E33" s="10" t="s">
        <v>290</v>
      </c>
      <c r="F33" s="10" t="s">
        <v>1393</v>
      </c>
      <c r="G33" s="11" t="s">
        <v>1394</v>
      </c>
    </row>
    <row r="34" customFormat="false" ht="34.5" hidden="false" customHeight="true" outlineLevel="0" collapsed="false">
      <c r="A34" s="10" t="n">
        <v>33</v>
      </c>
      <c r="B34" s="11" t="s">
        <v>1395</v>
      </c>
      <c r="C34" s="10" t="s">
        <v>1396</v>
      </c>
      <c r="D34" s="11" t="s">
        <v>183</v>
      </c>
      <c r="E34" s="10" t="s">
        <v>290</v>
      </c>
      <c r="F34" s="10" t="s">
        <v>1397</v>
      </c>
      <c r="G34" s="11" t="s">
        <v>1387</v>
      </c>
    </row>
    <row r="35" customFormat="false" ht="45.75" hidden="false" customHeight="true" outlineLevel="0" collapsed="false">
      <c r="A35" s="10" t="n">
        <v>34</v>
      </c>
      <c r="B35" s="11" t="s">
        <v>1398</v>
      </c>
      <c r="C35" s="10" t="s">
        <v>1399</v>
      </c>
      <c r="D35" s="11" t="s">
        <v>183</v>
      </c>
      <c r="E35" s="10" t="s">
        <v>290</v>
      </c>
      <c r="F35" s="10" t="s">
        <v>1400</v>
      </c>
      <c r="G35" s="11" t="s">
        <v>1401</v>
      </c>
    </row>
    <row r="36" customFormat="false" ht="23.25" hidden="false" customHeight="true" outlineLevel="0" collapsed="false">
      <c r="A36" s="10" t="n">
        <v>35</v>
      </c>
      <c r="B36" s="11" t="s">
        <v>1402</v>
      </c>
      <c r="C36" s="10" t="s">
        <v>1403</v>
      </c>
      <c r="D36" s="11" t="s">
        <v>183</v>
      </c>
      <c r="E36" s="10" t="s">
        <v>137</v>
      </c>
      <c r="F36" s="10" t="s">
        <v>1404</v>
      </c>
      <c r="G36" s="11" t="s">
        <v>1405</v>
      </c>
    </row>
    <row r="37" customFormat="false" ht="45.75" hidden="false" customHeight="true" outlineLevel="0" collapsed="false">
      <c r="A37" s="10" t="n">
        <v>36</v>
      </c>
      <c r="B37" s="11" t="s">
        <v>1406</v>
      </c>
      <c r="C37" s="10" t="s">
        <v>1407</v>
      </c>
      <c r="D37" s="11" t="s">
        <v>183</v>
      </c>
      <c r="E37" s="10" t="s">
        <v>137</v>
      </c>
      <c r="F37" s="10" t="s">
        <v>1408</v>
      </c>
      <c r="G37" s="11" t="s">
        <v>1409</v>
      </c>
    </row>
    <row r="38" customFormat="false" ht="15" hidden="false" customHeight="true" outlineLevel="0" collapsed="false">
      <c r="A38" s="10" t="n">
        <v>37</v>
      </c>
      <c r="B38" s="11" t="s">
        <v>1410</v>
      </c>
      <c r="C38" s="10" t="s">
        <v>1411</v>
      </c>
      <c r="D38" s="11" t="s">
        <v>183</v>
      </c>
      <c r="E38" s="10" t="s">
        <v>137</v>
      </c>
      <c r="F38" s="10" t="s">
        <v>1412</v>
      </c>
      <c r="G38" s="11" t="s">
        <v>1413</v>
      </c>
    </row>
    <row r="39" customFormat="false" ht="23.25" hidden="false" customHeight="true" outlineLevel="0" collapsed="false">
      <c r="A39" s="10" t="n">
        <v>38</v>
      </c>
      <c r="B39" s="11" t="s">
        <v>1414</v>
      </c>
      <c r="C39" s="10" t="s">
        <v>1415</v>
      </c>
      <c r="D39" s="11" t="s">
        <v>25</v>
      </c>
      <c r="E39" s="10" t="s">
        <v>649</v>
      </c>
      <c r="F39" s="10" t="s">
        <v>1416</v>
      </c>
      <c r="G39" s="11" t="s">
        <v>1417</v>
      </c>
    </row>
    <row r="40" customFormat="false" ht="23.25" hidden="false" customHeight="true" outlineLevel="0" collapsed="false">
      <c r="A40" s="10" t="n">
        <v>39</v>
      </c>
      <c r="B40" s="11"/>
      <c r="C40" s="10" t="s">
        <v>1418</v>
      </c>
      <c r="D40" s="11" t="s">
        <v>173</v>
      </c>
      <c r="E40" s="10" t="s">
        <v>15</v>
      </c>
      <c r="F40" s="10" t="s">
        <v>1419</v>
      </c>
      <c r="G40" s="11" t="s">
        <v>1420</v>
      </c>
    </row>
    <row r="41" customFormat="false" ht="15" hidden="false" customHeight="true" outlineLevel="0" collapsed="false">
      <c r="A41" s="10" t="n">
        <v>40</v>
      </c>
      <c r="B41" s="11"/>
      <c r="C41" s="10" t="s">
        <v>1421</v>
      </c>
      <c r="D41" s="11" t="s">
        <v>173</v>
      </c>
      <c r="E41" s="10" t="s">
        <v>15</v>
      </c>
      <c r="F41" s="10" t="s">
        <v>1422</v>
      </c>
      <c r="G41" s="11" t="s">
        <v>1423</v>
      </c>
    </row>
    <row r="42" customFormat="false" ht="15" hidden="false" customHeight="true" outlineLevel="0" collapsed="false">
      <c r="A42" s="10" t="n">
        <v>41</v>
      </c>
      <c r="B42" s="11"/>
      <c r="C42" s="10" t="s">
        <v>1424</v>
      </c>
      <c r="D42" s="11" t="s">
        <v>173</v>
      </c>
      <c r="E42" s="10" t="s">
        <v>15</v>
      </c>
      <c r="F42" s="10" t="s">
        <v>1425</v>
      </c>
      <c r="G42" s="11" t="s">
        <v>1426</v>
      </c>
    </row>
    <row r="43" customFormat="false" ht="23.25" hidden="false" customHeight="true" outlineLevel="0" collapsed="false">
      <c r="A43" s="10" t="n">
        <v>42</v>
      </c>
      <c r="B43" s="11"/>
      <c r="C43" s="10" t="s">
        <v>1427</v>
      </c>
      <c r="D43" s="11" t="s">
        <v>173</v>
      </c>
      <c r="E43" s="10" t="s">
        <v>15</v>
      </c>
      <c r="F43" s="10" t="s">
        <v>1428</v>
      </c>
      <c r="G43" s="11" t="s">
        <v>1429</v>
      </c>
    </row>
    <row r="44" customFormat="false" ht="15" hidden="false" customHeight="true" outlineLevel="0" collapsed="false">
      <c r="A44" s="10" t="n">
        <v>43</v>
      </c>
      <c r="B44" s="11"/>
      <c r="C44" s="10" t="s">
        <v>1430</v>
      </c>
      <c r="D44" s="11" t="s">
        <v>173</v>
      </c>
      <c r="E44" s="10" t="s">
        <v>15</v>
      </c>
      <c r="F44" s="10" t="s">
        <v>1431</v>
      </c>
      <c r="G44" s="11" t="s">
        <v>1432</v>
      </c>
    </row>
    <row r="45" customFormat="false" ht="34.5" hidden="false" customHeight="true" outlineLevel="0" collapsed="false">
      <c r="A45" s="10" t="n">
        <v>44</v>
      </c>
      <c r="B45" s="11"/>
      <c r="C45" s="10" t="s">
        <v>1433</v>
      </c>
      <c r="D45" s="11" t="s">
        <v>173</v>
      </c>
      <c r="E45" s="10" t="s">
        <v>1434</v>
      </c>
      <c r="F45" s="10" t="s">
        <v>1435</v>
      </c>
      <c r="G45" s="11" t="s">
        <v>1436</v>
      </c>
    </row>
    <row r="46" customFormat="false" ht="23.25" hidden="false" customHeight="true" outlineLevel="0" collapsed="false">
      <c r="A46" s="10" t="n">
        <v>45</v>
      </c>
      <c r="B46" s="11"/>
      <c r="C46" s="10" t="s">
        <v>1437</v>
      </c>
      <c r="D46" s="11" t="s">
        <v>25</v>
      </c>
      <c r="E46" s="10" t="s">
        <v>20</v>
      </c>
      <c r="F46" s="10" t="s">
        <v>1438</v>
      </c>
      <c r="G46" s="11" t="s">
        <v>1439</v>
      </c>
    </row>
    <row r="47" customFormat="false" ht="15" hidden="false" customHeight="true" outlineLevel="0" collapsed="false">
      <c r="A47" s="10" t="n">
        <v>46</v>
      </c>
      <c r="B47" s="11"/>
      <c r="C47" s="10" t="s">
        <v>1440</v>
      </c>
      <c r="D47" s="11" t="s">
        <v>25</v>
      </c>
      <c r="E47" s="10" t="s">
        <v>20</v>
      </c>
      <c r="F47" s="10" t="s">
        <v>1441</v>
      </c>
      <c r="G47" s="11" t="s">
        <v>1442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3" min="3" style="1" width="70"/>
  </cols>
  <sheetData>
    <row r="1" customFormat="false" ht="15" hidden="false" customHeight="true" outlineLevel="0" collapsed="false">
      <c r="A1" s="2" t="s">
        <v>1443</v>
      </c>
      <c r="B1" s="2" t="s">
        <v>1444</v>
      </c>
      <c r="C1" s="2" t="s">
        <v>1445</v>
      </c>
    </row>
    <row r="2" customFormat="false" ht="23.25" hidden="false" customHeight="true" outlineLevel="0" collapsed="false">
      <c r="A2" s="7" t="s">
        <v>1446</v>
      </c>
      <c r="B2" s="8" t="n">
        <v>302</v>
      </c>
      <c r="C2" s="7" t="s">
        <v>1447</v>
      </c>
    </row>
    <row r="3" customFormat="false" ht="15" hidden="false" customHeight="true" outlineLevel="0" collapsed="false">
      <c r="A3" s="7" t="s">
        <v>1448</v>
      </c>
      <c r="B3" s="8" t="n">
        <f aca="false">COUNTA('Master Graduate List'!B2:B246)</f>
        <v>245</v>
      </c>
      <c r="C3" s="7" t="s">
        <v>1449</v>
      </c>
    </row>
    <row r="4" customFormat="false" ht="15" hidden="false" customHeight="true" outlineLevel="0" collapsed="false">
      <c r="A4" s="7" t="s">
        <v>1450</v>
      </c>
      <c r="B4" s="8" t="n">
        <f aca="false">COUNTA('Master Graduate List'!B2:B246)</f>
        <v>245</v>
      </c>
      <c r="C4" s="7" t="s">
        <v>1451</v>
      </c>
    </row>
    <row r="5" customFormat="false" ht="15" hidden="false" customHeight="true" outlineLevel="0" collapsed="false">
      <c r="A5" s="7" t="s">
        <v>1452</v>
      </c>
      <c r="B5" s="8" t="n">
        <f aca="false">COUNTIF('Master Graduate List'!J2:J246,"High")</f>
        <v>129</v>
      </c>
      <c r="C5" s="7" t="s">
        <v>1453</v>
      </c>
    </row>
    <row r="6" customFormat="false" ht="15" hidden="false" customHeight="true" outlineLevel="0" collapsed="false">
      <c r="A6" s="7" t="s">
        <v>1454</v>
      </c>
      <c r="B6" s="8" t="n">
        <f aca="false">COUNTIF('Master Graduate List'!J2:J246,"Medium")</f>
        <v>116</v>
      </c>
      <c r="C6" s="7" t="s">
        <v>1455</v>
      </c>
    </row>
    <row r="7" customFormat="false" ht="15" hidden="false" customHeight="true" outlineLevel="0" collapsed="false">
      <c r="A7" s="7" t="s">
        <v>1456</v>
      </c>
      <c r="B7" s="8" t="n">
        <f aca="false">SUMPRODUCT(--('Master Graduate List'!F2:F246&lt;&gt;"—"))</f>
        <v>58</v>
      </c>
      <c r="C7" s="7"/>
    </row>
    <row r="8" customFormat="false" ht="15" hidden="false" customHeight="true" outlineLevel="0" collapsed="false">
      <c r="A8" s="7" t="s">
        <v>1457</v>
      </c>
      <c r="B8" s="8" t="n">
        <f aca="false">SUMPRODUCT(--('Master Graduate List'!G2:G246&lt;&gt;"—"))</f>
        <v>227</v>
      </c>
      <c r="C8" s="7"/>
    </row>
    <row r="9" customFormat="false" ht="15" hidden="false" customHeight="true" outlineLevel="0" collapsed="false">
      <c r="A9" s="7" t="s">
        <v>1458</v>
      </c>
      <c r="B9" s="8" t="n">
        <f aca="false">SUMPRODUCT(--('Master Graduate List'!H2:H246&lt;&gt;"—"))</f>
        <v>0</v>
      </c>
      <c r="C9" s="7" t="s">
        <v>1459</v>
      </c>
    </row>
    <row r="10" customFormat="false" ht="15" hidden="false" customHeight="true" outlineLevel="0" collapsed="false">
      <c r="A10" s="7" t="s">
        <v>1460</v>
      </c>
      <c r="B10" s="8" t="n">
        <f aca="false">SUMPRODUCT(--(ISNUMBER(SEARCH("+",'Master Graduate List'!D2:D246))))</f>
        <v>3</v>
      </c>
      <c r="C10" s="7"/>
    </row>
    <row r="11" customFormat="false" ht="23.25" hidden="false" customHeight="true" outlineLevel="0" collapsed="false">
      <c r="A11" s="7" t="s">
        <v>1461</v>
      </c>
      <c r="B11" s="8" t="n">
        <v>57</v>
      </c>
      <c r="C11" s="7" t="s">
        <v>1462</v>
      </c>
    </row>
    <row r="13" customFormat="false" ht="21.75" hidden="false" customHeight="true" outlineLevel="0" collapsed="false">
      <c r="A13" s="12" t="s">
        <v>1463</v>
      </c>
      <c r="B13" s="12"/>
      <c r="C13" s="12"/>
    </row>
  </sheetData>
  <mergeCells count="1">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2026-08-08T07:32:35Z</dcterms:created>
  <dc:creator>openpyxl</dc:creator>
  <dc:description/>
  <dc:language>en-US</dc:language>
  <cp:lastModifiedBy/>
  <dcterms:modified xsi:type="dcterms:W3CDTF">2026-08-08T07:33:10Z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