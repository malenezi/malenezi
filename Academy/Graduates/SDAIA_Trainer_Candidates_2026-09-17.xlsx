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رشحون_45" sheetId="1" state="visible" r:id="rId3"/>
    <sheet name="للتحقق" sheetId="2" state="visible" r:id="rId4"/>
    <sheet name="الفجوات" sheetId="3" state="visible" r:id="rId5"/>
  </sheets>
  <definedNames>
    <definedName function="false" hidden="true" localSheetId="2" name="_xlnm._FilterDatabase" vbProcedure="false">الفجوات!$A$1:$C$8</definedName>
    <definedName function="false" hidden="true" localSheetId="0" name="_xlnm._FilterDatabase" vbProcedure="false">المرشحون_45!$A$1:$Q$46</definedName>
    <definedName function="false" hidden="true" localSheetId="1" name="_xlnm._FilterDatabase" vbProcedure="false">للتحقق!$A$1:$E$38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<sst xmlns="http://schemas.openxmlformats.org/spreadsheetml/2006/main" count="780" uniqueCount="502">
  <si>
    <t xml:space="preserve">الترتيب</t>
  </si>
  <si>
    <t xml:space="preserve">الفئة</t>
  </si>
  <si>
    <t xml:space="preserve">المصدر</t>
  </si>
  <si>
    <t xml:space="preserve">السجل #</t>
  </si>
  <si>
    <t xml:space="preserve">الاسم (عربي)</t>
  </si>
  <si>
    <t xml:space="preserve">Name (EN)</t>
  </si>
  <si>
    <t xml:space="preserve">الجهة</t>
  </si>
  <si>
    <t xml:space="preserve">الدور الحالي</t>
  </si>
  <si>
    <t xml:space="preserve">التخصص الأساسي</t>
  </si>
  <si>
    <t xml:space="preserve">مسارات الأكاديمية</t>
  </si>
  <si>
    <t xml:space="preserve">خبرة التدريس/التدريب</t>
  </si>
  <si>
    <t xml:space="preserve">الشهادات والاعتمادات</t>
  </si>
  <si>
    <t xml:space="preserve">مبرّر الاختيار</t>
  </si>
  <si>
    <t xml:space="preserve">ملاحظة تحقق</t>
  </si>
  <si>
    <t xml:space="preserve">مصدر التحقق</t>
  </si>
  <si>
    <t xml:space="preserve">جديد؟</t>
  </si>
  <si>
    <t xml:space="preserve">درجة الجاهزية</t>
  </si>
  <si>
    <t xml:space="preserve">A</t>
  </si>
  <si>
    <t xml:space="preserve">قاعدة الخرّيجين</t>
  </si>
  <si>
    <t xml:space="preserve">سكينه جعفر الرمضان</t>
  </si>
  <si>
    <t xml:space="preserve">Sukainah Alramadhan</t>
  </si>
  <si>
    <t xml:space="preserve">KAUST Academy</t>
  </si>
  <si>
    <t xml:space="preserve">مدرّبة ذكاء اصطناعي / AI Trainer (Jul 2026)</t>
  </si>
  <si>
    <t xml:space="preserve">Applied GenAI / LLMs</t>
  </si>
  <si>
    <t xml:space="preserve">Generative AI · AI Engineering</t>
  </si>
  <si>
    <t xml:space="preserve">مدرّبة بدوام كامل في أكاديمية كاوست (يوليو 2026)</t>
  </si>
  <si>
    <t xml:space="preserve">NCA-GENL · 5 NVIDIA DLI · 3 برامج سدايا (ML Practitioner 2023 → LLM-Pro → NVIDIA certs)</t>
  </si>
  <si>
    <t xml:space="preserve">الحالة الوحيدة التي تجمع ثلاثة برامج للأكاديمية + شهادة NVIDIA + وظيفة تدريب قائمة؛ تعرف المنهج من مقعد المتدرّب ومنصة المدرّب</t>
  </si>
  <si>
    <t xml:space="preserve">LinkedIn (روابط مسجّلة)</t>
  </si>
  <si>
    <t xml:space="preserve">خارجي (لينكدإن)</t>
  </si>
  <si>
    <t xml:space="preserve">E1</t>
  </si>
  <si>
    <t xml:space="preserve">د. نورة الطريف</t>
  </si>
  <si>
    <t xml:space="preserve">Nora S. Alturayeif, PhD</t>
  </si>
  <si>
    <t xml:space="preserve">HUMAIN — Expert AI Scientist (مايو 2026)</t>
  </si>
  <si>
    <t xml:space="preserve">Expert AI Scientist · NVIDIA DLI Certified Instructor (ديسمبر 2024–، جزئي)</t>
  </si>
  <si>
    <t xml:space="preserve">NLP · LLMs · الذكاء الاصطناعي التطبيقي</t>
  </si>
  <si>
    <t xml:space="preserve">Generative AI · AI Engineering (NLP)</t>
  </si>
  <si>
    <t xml:space="preserve">12 سنة في جامعة الإمام عبدالرحمن (معيدة→محاضرة→أستاذة مساعدة حتى مايو 2026) + مدرّبة DLI معتمدة</t>
  </si>
  <si>
    <t xml:space="preserve">PhD · NVIDIA DLI Certified Instructor · عالمة ومستشارة ذكاء اصطناعي في سدايا (فبراير–مايو 2025)</t>
  </si>
  <si>
    <t xml:space="preserve">خارجية: الجمع الوحيد بين اعتماد DLI Instructor الرسمي وعقد من التدريس الجامعي وعلاقة سابقة بسدايا</t>
  </si>
  <si>
    <t xml:space="preserve">التوافر بجانب دور HUMAIN</t>
  </si>
  <si>
    <t xml:space="preserve">LinkedIn experience ✔ 17 Sep</t>
  </si>
  <si>
    <t xml:space="preserve">🆕</t>
  </si>
  <si>
    <t xml:space="preserve">نهى عبدالرحمن البادي</t>
  </si>
  <si>
    <t xml:space="preserve">Nuha Albadi</t>
  </si>
  <si>
    <t xml:space="preserve">KFUPM — قسم علوم وهندسة الحاسب + مركز سدايا–كفوبم JRC-AI</t>
  </si>
  <si>
    <t xml:space="preserve">أستاذة مساعدة · Research Scholar</t>
  </si>
  <si>
    <t xml:space="preserve">Arabic NLP · تحليل المحتوى العربي · التعلم العميق</t>
  </si>
  <si>
    <t xml:space="preserve">تدريس جامعي قائم (KFUPM)</t>
  </si>
  <si>
    <t xml:space="preserve">PhD/MSc — Colorado Boulder · 343 استشهادًا h=6 · GitHub + موقع شخصي</t>
  </si>
  <si>
    <t xml:space="preserve">أقوى رابط مؤسسي بسدايا (JRC-AI) + مواد منشورة على GitHub؛ تحقق مباشر من صفحة pure.kfupm (17 سبتمبر)</t>
  </si>
  <si>
    <t xml:space="preserve">pure.kfupm.edu.sa ✔ 17 Sep</t>
  </si>
  <si>
    <t xml:space="preserve">مويد الشنقيطي</t>
  </si>
  <si>
    <t xml:space="preserve">Moayad Alshangiti</t>
  </si>
  <si>
    <t xml:space="preserve">جامعة جدة — قسم هندسة البرمجيات</t>
  </si>
  <si>
    <t xml:space="preserve">عضو هيئة تدريس</t>
  </si>
  <si>
    <t xml:space="preserve">هندسة البرمجيات للذكاء الاصطناعي · تقييم LLM على العربية</t>
  </si>
  <si>
    <t xml:space="preserve">AI Engineering · Generative AI</t>
  </si>
  <si>
    <t xml:space="preserve">تدريس جامعي قائم + لجان مؤتمر ICL</t>
  </si>
  <si>
    <t xml:space="preserve">PhD — RIT · ETASR 2024 (LLMs on Arabic Qiyas) · ESEC/FSE 2022 · Scholar/DBLP</t>
  </si>
  <si>
    <t xml:space="preserve">أقرب ملف بحثي لحاجة الأكاديمية في قياس أداء LLM على العربية</t>
  </si>
  <si>
    <t xml:space="preserve">لقب «وكيل الدراسات العليا» غير مؤكد — لا يُستخدم</t>
  </si>
  <si>
    <t xml:space="preserve">Scholar/DBLP (سابق)</t>
  </si>
  <si>
    <t xml:space="preserve">E2</t>
  </si>
  <si>
    <t xml:space="preserve">د. مشاعل عسيري</t>
  </si>
  <si>
    <t xml:space="preserve">Mashael Asiri, PhD</t>
  </si>
  <si>
    <t xml:space="preserve">جامعة الملك خالد — أستاذة مشاركة في الذكاء الاصطناعي (يونيو 2025)</t>
  </si>
  <si>
    <t xml:space="preserve">أستاذة مشاركة · سابقًا رئيسة قسم علوم الحاسب (2021–2024)</t>
  </si>
  <si>
    <t xml:space="preserve">GenAI · LLMs · تعلم الآلة</t>
  </si>
  <si>
    <t xml:space="preserve">تدريس جامعي 15 سنة + «تقدّم برامج تعليمية في علوم البيانات وML وNLP» + إدارة قسم</t>
  </si>
  <si>
    <t xml:space="preserve">PhD · NVIDIA Certified Instructor في LLMs وMultimodal · 24 ورقة · براءة اختراع</t>
  </si>
  <si>
    <t xml:space="preserve">خارجية: أستاذة مشاركة بتخصص AI مع اعتماد NVIDIA كمدرّبة في الشهادتين اللتين تمنحهما الأكاديمية</t>
  </si>
  <si>
    <t xml:space="preserve">سعيد سعد الأحمري</t>
  </si>
  <si>
    <t xml:space="preserve">Saeed Alahmari</t>
  </si>
  <si>
    <t xml:space="preserve">جامعة نجران — كلية علوم الحاسب ونظم المعلومات</t>
  </si>
  <si>
    <t xml:space="preserve">أستاذ مساعد · مدير مركز البحوث العلمية والهندسية</t>
  </si>
  <si>
    <t xml:space="preserve">الرؤية الحاسوبية · متانة LLM</t>
  </si>
  <si>
    <t xml:space="preserve">AI Engineering (CV) · Generative AI</t>
  </si>
  <si>
    <t xml:space="preserve">تدريس جامعي + إدارة مركز بحثي (تصميم برامج)</t>
  </si>
  <si>
    <t xml:space="preserve">PhD — USF · CVPRW 2024 · Scientific Reports 2025 (LLM robustness) · Electronics 2025</t>
  </si>
  <si>
    <t xml:space="preserve">يجمع التدريس بقيادة برامج بحثية ونشرًا محكّمًا مباشر الصلة</t>
  </si>
  <si>
    <t xml:space="preserve">لا GitHub — يُطلب مستودع مواد قبل إسناد معمل</t>
  </si>
  <si>
    <t xml:space="preserve">portal.nu.edu.sa (سابق)</t>
  </si>
  <si>
    <t xml:space="preserve">E3</t>
  </si>
  <si>
    <t xml:space="preserve">د. عبدالله شنيمر</t>
  </si>
  <si>
    <t xml:space="preserve">Abdullah Sheneamer, PhD</t>
  </si>
  <si>
    <t xml:space="preserve">جامعة جازان — أستاذ (يناير 2026)</t>
  </si>
  <si>
    <t xml:space="preserve">أستاذ الذكاء الاصطناعي</t>
  </si>
  <si>
    <t xml:space="preserve">GenAI · التعلم العميق · تحليل الشيفرة والبرمجيات الخبيثة</t>
  </si>
  <si>
    <t xml:space="preserve">تدريس جامعي + NVIDIA DLI Instructor + IBM Instructor + NVIDIA University Ambassador</t>
  </si>
  <si>
    <t xml:space="preserve">PhD · DLI Instructor (Rapid Application Development with LLMs) · University Ambassador</t>
  </si>
  <si>
    <t xml:space="preserve">خارجية: أعلى رتبة أكاديمية في القائمة كلها مع اعتماد DLI Instructor وسفير جامعي</t>
  </si>
  <si>
    <t xml:space="preserve">المقر جازان — حضوري يحتاج سفرًا</t>
  </si>
  <si>
    <t xml:space="preserve">عمر حماد</t>
  </si>
  <si>
    <t xml:space="preserve">Omar Hammad</t>
  </si>
  <si>
    <t xml:space="preserve">KFUPM — قسم علوم وهندسة الحاسب + JRC-AI</t>
  </si>
  <si>
    <t xml:space="preserve">أستاذ مساعد · Research Scholar</t>
  </si>
  <si>
    <t xml:space="preserve">تفاعل إنسان-حاسوب · الذكاء الاصطناعي التطبيقي</t>
  </si>
  <si>
    <t xml:space="preserve">تدريس جامعي قائم</t>
  </si>
  <si>
    <t xml:space="preserve">PhD (HCI/AI)</t>
  </si>
  <si>
    <t xml:space="preserve">يجلس في المركز الذي استضاف فعليًا تدريب سدايا×NVIDIA (ديسمبر 2024–يناير 2025) — علاقة استضافة قائمة</t>
  </si>
  <si>
    <t xml:space="preserve">القسم: علوم وهندسة الحاسب (صُحّح)</t>
  </si>
  <si>
    <t xml:space="preserve">KFUPM (سابق)</t>
  </si>
  <si>
    <t xml:space="preserve">د. وضحى المطر</t>
  </si>
  <si>
    <t xml:space="preserve">Wadha M. Almattar, PhD</t>
  </si>
  <si>
    <t xml:space="preserve">جامعة الإمام عبدالرحمن بن فيصل IAU — قسم علوم الحاسب</t>
  </si>
  <si>
    <t xml:space="preserve">أستاذة مساعدة</t>
  </si>
  <si>
    <t xml:space="preserve">التعلم العميق الطبي (اعتلال الشبكية) · الرؤية الحاسوبية</t>
  </si>
  <si>
    <t xml:space="preserve">AI Engineering (CV/DL) · Generative AI</t>
  </si>
  <si>
    <t xml:space="preserve">PhD — KFUPM (نوفمبر 2024) · MSc — Sheffield · Scientific Reports 2025 (مؤلفة مراسلة) · Scholar</t>
  </si>
  <si>
    <t xml:space="preserve">جديدة على القائمة: أعلى ثقة (85) وأربعة روابط مستقلة؛ دكتوراه حديثة من KFUPM + نشر Nature-portfolio</t>
  </si>
  <si>
    <t xml:space="preserve">صفحة IAU لم تُقرأ اليوم (تعذّر الجلب)</t>
  </si>
  <si>
    <t xml:space="preserve">IAU faculty page + Nature (روابط مسجّلة)</t>
  </si>
  <si>
    <t xml:space="preserve">منال بن خنين</t>
  </si>
  <si>
    <t xml:space="preserve">Manal Binkhonain</t>
  </si>
  <si>
    <t xml:space="preserve">جامعة الملك سعود — قسم هندسة البرمجيات</t>
  </si>
  <si>
    <t xml:space="preserve">LLMs لهندسة المتطلبات · NLP في هندسة البرمجيات</t>
  </si>
  <si>
    <t xml:space="preserve">تُدرّس SWE 312/321/483 (مؤكد من صفحتها 17 سبتمبر)</t>
  </si>
  <si>
    <t xml:space="preserve">PhD/MSc — Manchester · Requirements Engineering 2025 «Are prompts all you need?» (مؤلفة مراسلة) · قصة نجاح منشورة</t>
  </si>
  <si>
    <t xml:space="preserve">جديدة: ورقة 2025 عن LLMs بالأوامر في تصنيف المتطلبات — مادة جاهزة لوحدة Prompt Engineering</t>
  </si>
  <si>
    <t xml:space="preserve">faculty.ksu.edu.sa ✔ 17 Sep</t>
  </si>
  <si>
    <t xml:space="preserve">مصطفى يولداش</t>
  </si>
  <si>
    <t xml:space="preserve">Mustafa Youldash</t>
  </si>
  <si>
    <t xml:space="preserve">IAU — كلية علوم الحاسب</t>
  </si>
  <si>
    <t xml:space="preserve">أستاذ مساعد</t>
  </si>
  <si>
    <t xml:space="preserve">الذكاء الاصطناعي · تعلم الآلة</t>
  </si>
  <si>
    <t xml:space="preserve">PhD — La Trobe · MSc — Monash · GitHub</t>
  </si>
  <si>
    <t xml:space="preserve">عضو هيئة تدريس بمستودع GitHub عام — قدرة على إنتاج مواد</t>
  </si>
  <si>
    <t xml:space="preserve">IAU (سابق)</t>
  </si>
  <si>
    <t xml:space="preserve">امل العذبه</t>
  </si>
  <si>
    <t xml:space="preserve">Amal Alazba</t>
  </si>
  <si>
    <t xml:space="preserve">جامعة الملك سعود — قسم نظم المعلومات</t>
  </si>
  <si>
    <t xml:space="preserve">تعلم الآلة التطبيقي · هندسة البرمجيات التجريبية</t>
  </si>
  <si>
    <t xml:space="preserve">Data Science · AI Engineering</t>
  </si>
  <si>
    <t xml:space="preserve">تُدرّس IS 463 Data Mining · IS 466 DSS (مؤكد 17 سبتمبر)</t>
  </si>
  <si>
    <t xml:space="preserve">PhD — KFUPM 2023 · Scholar · أوراق 2025 (التعلم النشط العميق)</t>
  </si>
  <si>
    <t xml:space="preserve">جديدة: تُدرّس تنقيب البيانات فعليًا — انطباق مباشر على مسار عالم البيانات</t>
  </si>
  <si>
    <t xml:space="preserve">سلطان اليامي (العامر)</t>
  </si>
  <si>
    <t xml:space="preserve">Sultan Alyami / Alamer</t>
  </si>
  <si>
    <t xml:space="preserve">جامعة نجران — قسم علوم الحاسب</t>
  </si>
  <si>
    <t xml:space="preserve">أستاذ مشارك</t>
  </si>
  <si>
    <t xml:space="preserve">الذكاء الاصطناعي · المعلوماتية الصحية والحيوية</t>
  </si>
  <si>
    <t xml:space="preserve">AI Engineering · Foundations</t>
  </si>
  <si>
    <t xml:space="preserve">سجل تدريس 2021–2026: Programming Fundamentals · Data Structures · Web Dev · مشاريع (مؤكد 17 سبتمبر)</t>
  </si>
  <si>
    <t xml:space="preserve">PhD/MSc — UConn 2021/2015 · ResearchGate</t>
  </si>
  <si>
    <t xml:space="preserve">جديد: أستاذ مشارك بسجل تدريس موثّق لخمس سنوات؛ يصلح لمستوى التأسيس والمشاريع</t>
  </si>
  <si>
    <t xml:space="preserve">ينشر باسم «Alamer» — تثبيت الاسم</t>
  </si>
  <si>
    <t xml:space="preserve">portal.nu.edu.sa ✔ 17 Sep</t>
  </si>
  <si>
    <t xml:space="preserve">B</t>
  </si>
  <si>
    <t xml:space="preserve">E4</t>
  </si>
  <si>
    <t xml:space="preserve">عمر ناجار</t>
  </si>
  <si>
    <t xml:space="preserve">Omer Nacar</t>
  </si>
  <si>
    <t xml:space="preserve">أكاديمية طويق — باحث أكاديمي أول (سبتمبر 2025)</t>
  </si>
  <si>
    <t xml:space="preserve">باحث أكاديمي أول · سابقًا مدرّب دبلوم الذكاء الاصطناعي (ديسمبر 2024–سبتمبر 2025) · محاضر NLP بجامعة الأمير سلطان (2025)</t>
  </si>
  <si>
    <t xml:space="preserve">Arabic NLP · Agentic AI Architect</t>
  </si>
  <si>
    <t xml:space="preserve">Agentic AI · Generative AI (Arabic NLP)</t>
  </si>
  <si>
    <t xml:space="preserve">مدرّب دبلوم AI في طويق 10 أشهر + محاضر NLP</t>
  </si>
  <si>
    <t xml:space="preserve">NVIDIA University Ambassador · CAIC · مؤسس مجتمع NAMAA للمعالجة العربية</t>
  </si>
  <si>
    <t xml:space="preserve">خارجي: الاسم الوحيد الذي يجمع خبرة تدريب فعلية في أكاديمية وطنية مع هندسة الوكلاء وNLP العربية — يسدّ فجوة Agentic</t>
  </si>
  <si>
    <t xml:space="preserve">يعمل لدى أكاديمية طويق — تضارب/توافر يحتاج تنسيقًا</t>
  </si>
  <si>
    <t xml:space="preserve">خالد المطيري</t>
  </si>
  <si>
    <t xml:space="preserve">Khaled Almutairy</t>
  </si>
  <si>
    <t xml:space="preserve">شركة علم Elm — AI Research</t>
  </si>
  <si>
    <t xml:space="preserve">عالم أبحاث ذكاء اصطناعي (سبتمبر 2025)</t>
  </si>
  <si>
    <t xml:space="preserve">LLMs · الذكاء الاصطناعي متعدد الوسائط</t>
  </si>
  <si>
    <t xml:space="preserve">Generative AI · Agentic AI</t>
  </si>
  <si>
    <t xml:space="preserve">—(لا دليل تدريسي مباشر)</t>
  </si>
  <si>
    <t xml:space="preserve">NCA-GENL + NCA-Multimodal (الحامل الوحيد للشهادتين) · MSc AI · قصة نجاح منشورة</t>
  </si>
  <si>
    <t xml:space="preserve">أعلى درجة خام في جولة سبتمبر؛ انتقال مهني مؤرّخ بالشهر إلى بحث الذكاء الاصطناعي</t>
  </si>
  <si>
    <t xml:space="preserve">تنبيه هوية مع «خالد سعود المطيري» — حُسم 8 سبتمبر لصالح ملف واحد</t>
  </si>
  <si>
    <t xml:space="preserve">LinkedIn experience page ✔ 8 Sep</t>
  </si>
  <si>
    <t xml:space="preserve">تهاني السبيت</t>
  </si>
  <si>
    <t xml:space="preserve">Tahani Alsubait</t>
  </si>
  <si>
    <t xml:space="preserve">جامعة أم القرى — قسم علوم الحاسب والذكاء الاصطناعي</t>
  </si>
  <si>
    <t xml:space="preserve">أستاذة مشاركة</t>
  </si>
  <si>
    <t xml:space="preserve">الذكاء الاصطناعي · تعليم الحوسبة</t>
  </si>
  <si>
    <t xml:space="preserve">تدريس جامعي قائم (رتبة مشاركة)</t>
  </si>
  <si>
    <t xml:space="preserve">PhD — Manchester 2015 · Scholar</t>
  </si>
  <si>
    <t xml:space="preserve">أعلى رتبة أكاديمية في المسار مع قسم يحمل اسم المسار</t>
  </si>
  <si>
    <t xml:space="preserve">uqu.edu.sa (سابق)</t>
  </si>
  <si>
    <t xml:space="preserve">نهى الدوسري</t>
  </si>
  <si>
    <t xml:space="preserve">Nuha Aldausari</t>
  </si>
  <si>
    <t xml:space="preserve">جامعة الأميرة نورة</t>
  </si>
  <si>
    <t xml:space="preserve">أستاذة مساعدة / محاضرة</t>
  </si>
  <si>
    <t xml:space="preserve">النماذج التوليدية (GAN/Diffusion) · توليد الفيديو</t>
  </si>
  <si>
    <t xml:space="preserve">Generative AI</t>
  </si>
  <si>
    <t xml:space="preserve">PhD — UNSW · arXiv 2011.02250 · ResearchGate</t>
  </si>
  <si>
    <t xml:space="preserve">التخصص البحثي الوحيد في النماذج التوليدية البصرية</t>
  </si>
  <si>
    <t xml:space="preserve">ResearchGate/arXiv (سابق)</t>
  </si>
  <si>
    <t xml:space="preserve">معتصم السوادي</t>
  </si>
  <si>
    <t xml:space="preserve">Motasem Alsawadi</t>
  </si>
  <si>
    <t xml:space="preserve">KACST</t>
  </si>
  <si>
    <t xml:space="preserve">باحث — الرؤية الحاسوبية والذكاء الاصطناعي الطرفي</t>
  </si>
  <si>
    <t xml:space="preserve">Edge AI · YOLO على Jetson</t>
  </si>
  <si>
    <t xml:space="preserve">AI Engineering (CV/Edge)</t>
  </si>
  <si>
    <t xml:space="preserve">—</t>
  </si>
  <si>
    <t xml:space="preserve">PhD — UCL · Computers (MDPI) 2026 Jetson Orin NX · arXiv + شيفرة مفتوحة</t>
  </si>
  <si>
    <t xml:space="preserve">العمل المنشور الوحيد على عتاد NVIDIA في القاعدة — معمل Edge جاهز</t>
  </si>
  <si>
    <t xml:space="preserve">MDPI/UCL (روابط مسجّلة)</t>
  </si>
  <si>
    <t xml:space="preserve">نورة الفوزان</t>
  </si>
  <si>
    <t xml:space="preserve">Noura Alfouzan</t>
  </si>
  <si>
    <t xml:space="preserve">المؤسسة العامة للمياه SWA + أكاديمية طويق</t>
  </si>
  <si>
    <t xml:space="preserve">محللة بيانات أولى (نوفمبر 2025) · مدرّبة ذكاء اصطناعي وطائرات مسيّرة بأكاديمية طويق (أبريل 2025)</t>
  </si>
  <si>
    <t xml:space="preserve">الذكاء الاصطناعي التطبيقي · GANs · الطائرات المسيّرة</t>
  </si>
  <si>
    <t xml:space="preserve">تدريب فعلي مؤكد بصفحة الخبرة (طويق، أبريل 2025)</t>
  </si>
  <si>
    <t xml:space="preserve">برنامج المسارات المتقدمة (نوفمبر 2024) · قصة نجاح منشورة</t>
  </si>
  <si>
    <t xml:space="preserve">جديدة على القائمة: خريجة تحمل خبرة تدريب موثّقة بالشهر في أكاديمية وطنية أخرى</t>
  </si>
  <si>
    <t xml:space="preserve">LinkedIn experience ✔ 5 Sep (د)</t>
  </si>
  <si>
    <t xml:space="preserve">E5</t>
  </si>
  <si>
    <t xml:space="preserve">يحيى البلوي</t>
  </si>
  <si>
    <t xml:space="preserve">Yahya Albalawi</t>
  </si>
  <si>
    <t xml:space="preserve">جامعة طيبة — كلية العلوم والآداب بالعلا</t>
  </si>
  <si>
    <t xml:space="preserve">محاضر أول (2012–)</t>
  </si>
  <si>
    <t xml:space="preserve">التعلم العميق · النماذج الانتشارية</t>
  </si>
  <si>
    <t xml:space="preserve">Generative AI (Diffusion) · Foundations</t>
  </si>
  <si>
    <t xml:space="preserve">14 سنة تدريس جامعي + NVIDIA DLI Instructor</t>
  </si>
  <si>
    <t xml:space="preserve">PhD · Certified Instructor – Generative AI with Diffusion Models · عضو مجلس استشاري AICAP</t>
  </si>
  <si>
    <t xml:space="preserve">خارجي: مدرّب DLI معتمد في النماذج الانتشارية تحديدًا — الوحدة الأقل تغطية</t>
  </si>
  <si>
    <t xml:space="preserve">المقر العلا</t>
  </si>
  <si>
    <t xml:space="preserve">E8</t>
  </si>
  <si>
    <t xml:space="preserve">أحمد العرج</t>
  </si>
  <si>
    <t xml:space="preserve">Ahmed Alorage</t>
  </si>
  <si>
    <t xml:space="preserve">سدايا — مدير أول التخطيط الاستراتيجي (مايو 2024)</t>
  </si>
  <si>
    <t xml:space="preserve">مدير أول التخطيط الاستراتيجي · مدير هندسة المؤسسة (NIC)</t>
  </si>
  <si>
    <t xml:space="preserve">إدارة البيانات · هندسة المؤسسة · معايير المهن</t>
  </si>
  <si>
    <t xml:space="preserve">Data Governance / Management</t>
  </si>
  <si>
    <t xml:space="preserve">«Technology Leadership Instructor» (عنوانه) · قاد إعداد الإطار الوطني للمعايير المهنية لمهن البيانات لقطاع بناء القدرات</t>
  </si>
  <si>
    <t xml:space="preserve">DAMA CDMP · TOGAF · DPBOK · مرشح دكتوراه</t>
  </si>
  <si>
    <t xml:space="preserve">داخلي (سدايا): أقوى ملف حوكمة وُجد — يعرف الإطار الوطني لمهن البيانات لأنه قاده</t>
  </si>
  <si>
    <t xml:space="preserve">موظف سدايا خارج الأكاديمية — يُعامل خبيرًا داخليًا</t>
  </si>
  <si>
    <t xml:space="preserve">غادة الفتني</t>
  </si>
  <si>
    <t xml:space="preserve">Ghada Alfattni</t>
  </si>
  <si>
    <t xml:space="preserve">جامعة أم القرى — كلية الجموم</t>
  </si>
  <si>
    <t xml:space="preserve">NLP سريري · تشكيل العربية بالنماذج اللغوية · التنقيب النصي</t>
  </si>
  <si>
    <t xml:space="preserve">PhD AI — Manchester 2021 · MSc AI — Manchester · Scholar · ورقة 2025 تشكيل العربية</t>
  </si>
  <si>
    <t xml:space="preserve">جديدة: تخصص NLP عربي تطبيقي بدكتوراه ذكاء اصطناعي؛ السيرة الرسمية مؤكدة 17 سبتمبر</t>
  </si>
  <si>
    <t xml:space="preserve">لا ذكر لتدريب/ورش في السيرة</t>
  </si>
  <si>
    <t xml:space="preserve">uqu.edu.sa/gafattni CV ✔ 17 Sep</t>
  </si>
  <si>
    <t xml:space="preserve">عبدالرحمن باجنيد</t>
  </si>
  <si>
    <t xml:space="preserve">Abdulrahman Bajunaid</t>
  </si>
  <si>
    <t xml:space="preserve">أرامكو السعودية</t>
  </si>
  <si>
    <t xml:space="preserve">Data Scientist &amp; Software Engineer</t>
  </si>
  <si>
    <t xml:space="preserve">هندسة البيانات الحديثة · Airflow · RAG</t>
  </si>
  <si>
    <t xml:space="preserve">Data Engineering · AI Engineering</t>
  </si>
  <si>
    <t xml:space="preserve">أقوى مشروع تخرج في القاعدة (DAICO، Airflow DAG، 65 اختبارًا) · GitHub · قصة نجاح</t>
  </si>
  <si>
    <t xml:space="preserve">التغطية الأقوى لهندسة البيانات — بمخرج عملي موثّق</t>
  </si>
  <si>
    <t xml:space="preserve">تاريخ الالتحاق بأرامكو غير مؤكد</t>
  </si>
  <si>
    <t xml:space="preserve">GitHub (سابق)</t>
  </si>
  <si>
    <t xml:space="preserve">اريج الشطيري</t>
  </si>
  <si>
    <t xml:space="preserve">Areej Alshutayri</t>
  </si>
  <si>
    <t xml:space="preserve">جامعة جدة — كلية علوم وهندسة الحاسب</t>
  </si>
  <si>
    <t xml:space="preserve">تصنيف نصوص اللهجات العربية · تحليل المشاعر</t>
  </si>
  <si>
    <t xml:space="preserve">Generative AI · AI Engineering (Arabic NLP)</t>
  </si>
  <si>
    <t xml:space="preserve">PhD — Leeds (أطروحة white rose) · Scholar · ResearchGate</t>
  </si>
  <si>
    <t xml:space="preserve">جديدة: باحثة نشطة في اللهجات العربية — موضوع مركزي لمنتجات علام/ALLAM</t>
  </si>
  <si>
    <t xml:space="preserve">Scholar محجوب عن الجلب — الاستشهادات غير مُعادة الحساب</t>
  </si>
  <si>
    <t xml:space="preserve">etheses.whiterose (رابط مسجّل)</t>
  </si>
  <si>
    <t xml:space="preserve">شعيع العتيبي</t>
  </si>
  <si>
    <t xml:space="preserve">Shoayee Alotaibi</t>
  </si>
  <si>
    <t xml:space="preserve">جامعة حائل — قسم الذكاء الاصطناعي وعلوم البيانات</t>
  </si>
  <si>
    <t xml:space="preserve">عضو هيئة تدريس · وكيلة الكلية</t>
  </si>
  <si>
    <t xml:space="preserve">أساسيات الذكاء الاصطناعي وعلوم البيانات · هندسة البرمجيات</t>
  </si>
  <si>
    <t xml:space="preserve">Foundations · Data Science</t>
  </si>
  <si>
    <t xml:space="preserve">تدريس + حوكمة برامج أكاديمية</t>
  </si>
  <si>
    <t xml:space="preserve">MSc SWE — Sheffield · ASE 2024 · ResearchGate</t>
  </si>
  <si>
    <t xml:space="preserve">مزيج تدريس + إدارة برامج نادر؛ مناسبة لمستوى التأسيس</t>
  </si>
  <si>
    <t xml:space="preserve">تثبيت النقحرة «Shoayee»</t>
  </si>
  <si>
    <t xml:space="preserve">ASE 2024 (سابق)</t>
  </si>
  <si>
    <t xml:space="preserve">مها الطلق</t>
  </si>
  <si>
    <t xml:space="preserve">Maha Altalak</t>
  </si>
  <si>
    <t xml:space="preserve">وزارة الصحة — مستشفى صحة الافتراضي</t>
  </si>
  <si>
    <t xml:space="preserve">مديرة الابتكار · رئيسة قطاع نمذجة الذكاء الاصطناعي</t>
  </si>
  <si>
    <t xml:space="preserve">علوم البيانات التطبيقية · الذكاء الاصطناعي الصحي</t>
  </si>
  <si>
    <t xml:space="preserve">Data Science · Executive/Foundations</t>
  </si>
  <si>
    <t xml:space="preserve">محاضرة سابقة بجامعة تبوك (2022–23)</t>
  </si>
  <si>
    <t xml:space="preserve">T5 + أبطال صيف الذكاء الاصطناعي 2022 · GitHub · مسار نيوم→صحة</t>
  </si>
  <si>
    <t xml:space="preserve">خريجة ببرنامجين وخبرة تدريس جامعي سابقة ومنصب قيادي — مناسبة للبرامج التنفيذية وعلوم البيانات</t>
  </si>
  <si>
    <t xml:space="preserve">تواريخ المناصب من الملف الذاتي</t>
  </si>
  <si>
    <t xml:space="preserve">LinkedIn (رابط مسجّل)</t>
  </si>
  <si>
    <t xml:space="preserve">رغد القبالي</t>
  </si>
  <si>
    <t xml:space="preserve">Raghad Alqobali</t>
  </si>
  <si>
    <t xml:space="preserve">سدايا</t>
  </si>
  <si>
    <t xml:space="preserve">AI Engineer</t>
  </si>
  <si>
    <t xml:space="preserve">الروبوتات الدلالية · الملاحة الذاتية · LLMs</t>
  </si>
  <si>
    <t xml:space="preserve">AI Engineering</t>
  </si>
  <si>
    <t xml:space="preserve">مؤلفة أولى لورقتين MDPI (2023–24) بانتساب سدايا · GitHub · ML+LLM 2023</t>
  </si>
  <si>
    <t xml:space="preserve">أعلى ثقة في القاعدة (94) وأثر تقني منشور؛ خبيرة داخلية للمعامل</t>
  </si>
  <si>
    <t xml:space="preserve">موظفة في الجهة الحاضنة — تُعامل كخبيرة داخلية</t>
  </si>
  <si>
    <t xml:space="preserve">MDPI/GitHub (سابق)</t>
  </si>
  <si>
    <t xml:space="preserve">طارق الصخفي</t>
  </si>
  <si>
    <t xml:space="preserve">Tariq Alsahfi</t>
  </si>
  <si>
    <t xml:space="preserve">جامعة جدة — نظم المعلومات</t>
  </si>
  <si>
    <t xml:space="preserve">البيانات المكانية-الزمانية · النماذج اللغوية</t>
  </si>
  <si>
    <t xml:space="preserve">Data Science · Generative AI</t>
  </si>
  <si>
    <t xml:space="preserve">PhD — UT Arlington 2020 · SciProfiles · ResearchGate (أوراق 2024–2026)</t>
  </si>
  <si>
    <t xml:space="preserve">جديد: يجمع علوم البيانات المكانية بأوراق LLM حديثة — نادر في القائمة</t>
  </si>
  <si>
    <t xml:space="preserve">SciProfiles/ResearchGate (روابط مسجّلة)</t>
  </si>
  <si>
    <t xml:space="preserve">حسين اليافعي</t>
  </si>
  <si>
    <t xml:space="preserve">Hussain Alyafei</t>
  </si>
  <si>
    <t xml:space="preserve">مساعد تدريس ذكاء اصطناعي (2026)</t>
  </si>
  <si>
    <t xml:space="preserve">هندسة البيانات · الذكاء الاصطناعي</t>
  </si>
  <si>
    <t xml:space="preserve">TA بأكاديمية كاوست + TA في MEng-AI التأهيلي (مؤكد بكشف الأكاديمية)</t>
  </si>
  <si>
    <t xml:space="preserve">بكالوريوس AI بمرتبة الشرف — IAU 2024 · معسكر هندسة البيانات 2024–25</t>
  </si>
  <si>
    <t xml:space="preserve">ثاني جسر إلى منصة كاوست التدريبية؛ خط مؤرّخ كامل من المعسكر إلى التدريس</t>
  </si>
  <si>
    <t xml:space="preserve">لا رابط علني بعد حذف الوسطاء — ليس «حسين محسن»</t>
  </si>
  <si>
    <t xml:space="preserve">كشف الأكاديمية (داخلي)</t>
  </si>
  <si>
    <t xml:space="preserve">ملاك الجابري</t>
  </si>
  <si>
    <t xml:space="preserve">Malak Aljabri</t>
  </si>
  <si>
    <t xml:space="preserve">جامعة أم القرى — قسم هندسة الحاسب والشبكات</t>
  </si>
  <si>
    <t xml:space="preserve">علوم الحاسب · الأمن والشبكات الذكية</t>
  </si>
  <si>
    <t xml:space="preserve">PhD — Glasgow 2015 · Scholar</t>
  </si>
  <si>
    <t xml:space="preserve">جديدة: رتبة مشاركة + NVIDIA؛ الصفحة الرسمية مقتضبة — يُطلب ملف تدريسي</t>
  </si>
  <si>
    <t xml:space="preserve">الصفحة الرسمية لا تذكر المقررات</t>
  </si>
  <si>
    <t xml:space="preserve">uqu.edu.sa ✔ 17 Sep (حد أدنى)</t>
  </si>
  <si>
    <t xml:space="preserve">تغريد سندي</t>
  </si>
  <si>
    <t xml:space="preserve">Taghreed Sindi</t>
  </si>
  <si>
    <t xml:space="preserve">مدينة الملك عبدالله الطبية KAMC</t>
  </si>
  <si>
    <t xml:space="preserve">مديرة تنفيذية مساعدة للابتكار</t>
  </si>
  <si>
    <t xml:space="preserve">الابتكار الصحي · الذكاء الاصطناعي في الرعاية</t>
  </si>
  <si>
    <t xml:space="preserve">Executive GenAI · Foundations</t>
  </si>
  <si>
    <t xml:space="preserve">متحدثة عامة (MIT TR35 · غينيس · مؤسِّسة مشاركة لجمعية AI في الرعاية الصحية)</t>
  </si>
  <si>
    <t xml:space="preserve">MSc AI — UQU 2021 · NCA-GENL · MIT Innovators Under 35 (2024)</t>
  </si>
  <si>
    <t xml:space="preserve">أقوى منصة عامة في القائمة — للماستركلاس والبرامج التنفيذية لا للمعامل</t>
  </si>
  <si>
    <t xml:space="preserve">ماستركلاس فقط</t>
  </si>
  <si>
    <t xml:space="preserve">innovatorsunder35 + Saudipedia (روابط مسجّلة)</t>
  </si>
  <si>
    <t xml:space="preserve">E6</t>
  </si>
  <si>
    <t xml:space="preserve">د. أحمد عفيفي</t>
  </si>
  <si>
    <t xml:space="preserve">Ahmed Afifi</t>
  </si>
  <si>
    <t xml:space="preserve">جامعة الملك فيصل — أستاذ مساعد (2018–)</t>
  </si>
  <si>
    <t xml:space="preserve">أستاذ مساعد، علوم الحاسب</t>
  </si>
  <si>
    <t xml:space="preserve">التعلم العميق · الرؤية الحاسوبية</t>
  </si>
  <si>
    <t xml:space="preserve">AI Engineering (DL)</t>
  </si>
  <si>
    <t xml:space="preserve">تدريس جامعي منذ 2002 (المنوفية ثم KFU) + DLI Instructor (Fundamentals of Deep Learning)</t>
  </si>
  <si>
    <t xml:space="preserve">PhD · زمالتا ما بعد الدكتوراه — جامعة تشيبا</t>
  </si>
  <si>
    <t xml:space="preserve">خارجي: مدرّب DLI معتمد في أساسيات التعلم العميق</t>
  </si>
  <si>
    <t xml:space="preserve">غير سعودي (أكاديمي وافد)</t>
  </si>
  <si>
    <t xml:space="preserve">E7</t>
  </si>
  <si>
    <t xml:space="preserve">أ.د. علاء صغير</t>
  </si>
  <si>
    <t xml:space="preserve">Alaa Sagheer</t>
  </si>
  <si>
    <t xml:space="preserve">جامعة الملك فيصل — أستاذ الذكاء الاصطناعي</t>
  </si>
  <si>
    <t xml:space="preserve">أستاذ · رئيس تحرير · مراجع جودة واعتماد</t>
  </si>
  <si>
    <t xml:space="preserve">NLP · Transformers · السلاسل الزمنية</t>
  </si>
  <si>
    <t xml:space="preserve">Generative AI · Data Science</t>
  </si>
  <si>
    <t xml:space="preserve">تدريس جامعي + NVIDIA University Ambassador</t>
  </si>
  <si>
    <t xml:space="preserve">PhD · NVIDIA University Ambassador</t>
  </si>
  <si>
    <t xml:space="preserve">خارجي: سفير جامعي لـNVIDIA برتبة أستاذ</t>
  </si>
  <si>
    <t xml:space="preserve">صفحة الخبرة لم تُقرأ (انقطاع الجهاز) — غير سعودي على الأرجح</t>
  </si>
  <si>
    <t xml:space="preserve">LinkedIn search card ✔ 17 Sep</t>
  </si>
  <si>
    <t xml:space="preserve">مها ثفار</t>
  </si>
  <si>
    <t xml:space="preserve">Maha Thafar</t>
  </si>
  <si>
    <t xml:space="preserve">جامعة الطائف — قسم علوم الحاسب</t>
  </si>
  <si>
    <t xml:space="preserve">المعلوماتية الحيوية · تعلم الآلة للاكتشاف الدوائي</t>
  </si>
  <si>
    <t xml:space="preserve">PhD — KAUST · Scientific Reports 2022 · GitHub</t>
  </si>
  <si>
    <t xml:space="preserve">عضو هيئة تدريس من خارج مسار NVIDIA بـGitHub ونشر قوي — تنويع المصدر</t>
  </si>
  <si>
    <t xml:space="preserve">اسم البرنامج في السجل مكتوب خطأ «Lngeuage»</t>
  </si>
  <si>
    <t xml:space="preserve">tu.edu.sa (رابط مسجّل)</t>
  </si>
  <si>
    <t xml:space="preserve">عقيلة مكي</t>
  </si>
  <si>
    <t xml:space="preserve">Aqeelah Makki</t>
  </si>
  <si>
    <t xml:space="preserve">HUMAIN</t>
  </si>
  <si>
    <t xml:space="preserve">مهندسة ذكاء اصطناعي (مايو 2025)</t>
  </si>
  <si>
    <t xml:space="preserve">LLMs · تطبيقات GenAI</t>
  </si>
  <si>
    <t xml:space="preserve">NCA-GENL (2025) · LLM Practitioner 2023 · قصة نجاح</t>
  </si>
  <si>
    <t xml:space="preserve">انتقال مؤرّخ من سدايا إلى HUMAIN؛ خبرة إنتاجية في LLMs</t>
  </si>
  <si>
    <t xml:space="preserve">أبرار العتيبي</t>
  </si>
  <si>
    <t xml:space="preserve">Abrar Alotaibi</t>
  </si>
  <si>
    <t xml:space="preserve">IAU — قسم علوم الحاسب</t>
  </si>
  <si>
    <t xml:space="preserve">محاضرة · مرشحة دكتوراه</t>
  </si>
  <si>
    <t xml:space="preserve">علوم الحاسب</t>
  </si>
  <si>
    <t xml:space="preserve">Foundations</t>
  </si>
  <si>
    <t xml:space="preserve">MSc · «SDAIA Certified Expert AI Engineer» · NVIDIA-Certified Associate: GenAI LLMs + Multimodal (عنوان لينكدإن ✔ 17 Sep)</t>
  </si>
  <si>
    <t xml:space="preserve">ترقية: عنوانها الحيّ يحمل اعتماد الأكاديمية «خبير مهندس ذكاء اصطناعي» + شهادتي NVIDIA — أقوى مما سجّلته القاعدة</t>
  </si>
  <si>
    <t xml:space="preserve">E9</t>
  </si>
  <si>
    <t xml:space="preserve">شيماء الغامدي</t>
  </si>
  <si>
    <t xml:space="preserve">Shaimaa Alghamdi</t>
  </si>
  <si>
    <t xml:space="preserve">وزارة العدل — مسؤولة أخلاقيات الذكاء الاصطناعي (أبريل 2025)</t>
  </si>
  <si>
    <t xml:space="preserve">AI Ethics Officer · نقطة اتصال سدايا وNAII</t>
  </si>
  <si>
    <t xml:space="preserve">حوكمة وأخلاقيات الذكاء الاصطناعي · استراتيجية AI</t>
  </si>
  <si>
    <t xml:space="preserve">AI Governance / Responsible AI</t>
  </si>
  <si>
    <t xml:space="preserve">عروض في LEAP 2024/2025 وورقة بمؤتمر بيروت 2024 (متحدثة)</t>
  </si>
  <si>
    <t xml:space="preserve">MSc AI · عالمة بيانات سابقة (2023–2025)</t>
  </si>
  <si>
    <t xml:space="preserve">خارجية: تغطية وحيدة لمسار حوكمة الذكاء الاصطناعي المسؤول</t>
  </si>
  <si>
    <t xml:space="preserve">لا خبرة تدريس منهجية</t>
  </si>
  <si>
    <t xml:space="preserve">غانم الغانم</t>
  </si>
  <si>
    <t xml:space="preserve">Ghanim Alghanim</t>
  </si>
  <si>
    <t xml:space="preserve">NCAI — المركز الوطني للذكاء الاصطناعي (سدايا)</t>
  </si>
  <si>
    <t xml:space="preserve">Senior AI Research Engineer</t>
  </si>
  <si>
    <t xml:space="preserve">الرؤية الحاسوبية · أبحاث AI</t>
  </si>
  <si>
    <t xml:space="preserve">AI Engineering (CV)</t>
  </si>
  <si>
    <t xml:space="preserve">T5 2021 · Master Works CV Engineer · 5 سنوات داخل سدايا/NCAI</t>
  </si>
  <si>
    <t xml:space="preserve">خبرة إنتاج داخلية طويلة في الرؤية الحاسوبية</t>
  </si>
  <si>
    <t xml:space="preserve">الدور من الملف الذاتي — يحتاج صفحة الخبرة</t>
  </si>
  <si>
    <t xml:space="preserve">ابتهال باعظيم</t>
  </si>
  <si>
    <t xml:space="preserve">Ibtihal Baazeem</t>
  </si>
  <si>
    <t xml:space="preserve">KACST — معهد الذكاء الاصطناعي والروبوتات + KSU</t>
  </si>
  <si>
    <t xml:space="preserve">باحثة معالجة لغة عربية</t>
  </si>
  <si>
    <t xml:space="preserve">قابلية القراءة العربية · تتبع العين · Arabic NLP</t>
  </si>
  <si>
    <t xml:space="preserve">Generative AI (Arabic NLP)</t>
  </si>
  <si>
    <t xml:space="preserve">مؤلفة أولى لثلاث أوراق (Computation 2025×2 · Applied Sciences 2021)</t>
  </si>
  <si>
    <t xml:space="preserve">برنامج بحثي عربي متماسك — وحدة Arabic NLP</t>
  </si>
  <si>
    <t xml:space="preserve">الجهة من سطر المؤلفين</t>
  </si>
  <si>
    <t xml:space="preserve">MDPI (روابط مسجّلة)</t>
  </si>
  <si>
    <t xml:space="preserve">ريان البخاري</t>
  </si>
  <si>
    <t xml:space="preserve">Rayan Albokhari</t>
  </si>
  <si>
    <t xml:space="preserve">جامعة أكسفورد — قسم علوم الهندسة/IBME</t>
  </si>
  <si>
    <t xml:space="preserve">باحث DPhil</t>
  </si>
  <si>
    <t xml:space="preserve">النماذج الانتشارية في التصوير الطبي</t>
  </si>
  <si>
    <t xml:space="preserve">Generative AI (Diffusion)</t>
  </si>
  <si>
    <t xml:space="preserve">MICCAI DGM4MICCAI 2025 (مؤلف أول) · زمالة مسك</t>
  </si>
  <si>
    <t xml:space="preserve">عمق نادر في Diffusion Models — ماستركلاس عن بُعد</t>
  </si>
  <si>
    <t xml:space="preserve">مقيم في المملكة المتحدة — عن بُعد فقط</t>
  </si>
  <si>
    <t xml:space="preserve">eng.ox.ac.uk (روابط مسجّلة)</t>
  </si>
  <si>
    <t xml:space="preserve">C</t>
  </si>
  <si>
    <t xml:space="preserve">منار الربيع</t>
  </si>
  <si>
    <t xml:space="preserve">Manar Alrabie</t>
  </si>
  <si>
    <t xml:space="preserve">المؤسسة العامة للتدريب التقني والمهني TVTC</t>
  </si>
  <si>
    <t xml:space="preserve">مدرّبة تقنية معلومات</t>
  </si>
  <si>
    <t xml:space="preserve">تقنية المعلومات · LLMs (ممارس)</t>
  </si>
  <si>
    <t xml:space="preserve">Foundations · Beginner Level</t>
  </si>
  <si>
    <t xml:space="preserve">مدرّبة محترفة بدوام كامل في TVTC</t>
  </si>
  <si>
    <t xml:space="preserve">LLMs Practitioner (ديسمبر 2023) · بكالوريوس CS — UQU 2023</t>
  </si>
  <si>
    <t xml:space="preserve">جديدة: مدرّبة بالمهنة (الكفاءة التدريبية مثبتة)، تُناسب المستوى المبتدئ</t>
  </si>
  <si>
    <t xml:space="preserve">لا رابط علني؛ العمق التقني غير موثّق</t>
  </si>
  <si>
    <t xml:space="preserve">الملف الرسمي (داخلي)</t>
  </si>
  <si>
    <t xml:space="preserve">فارس الجهني</t>
  </si>
  <si>
    <t xml:space="preserve">Faris Aljohani</t>
  </si>
  <si>
    <t xml:space="preserve">تجسير Tajseer</t>
  </si>
  <si>
    <t xml:space="preserve">مهندس ذكاء اصطناعي</t>
  </si>
  <si>
    <t xml:space="preserve">GenAI · LLMs</t>
  </si>
  <si>
    <t xml:space="preserve">NCA-GENL + 5 DLI + تدريب تعاوني بسدايا (3 برامج) · KAUST &amp; Oxford AI 2026</t>
  </si>
  <si>
    <t xml:space="preserve">أكثر الخريجين الشباب تراكمًا للشهادات (سدايا + KAUST + Oxford)</t>
  </si>
  <si>
    <t xml:space="preserve">تاريخ الالتحاق بتجسير غير مؤرخ</t>
  </si>
  <si>
    <t xml:space="preserve">عبدالرحمن الناشري</t>
  </si>
  <si>
    <t xml:space="preserve">Abdulrahman Alnashri</t>
  </si>
  <si>
    <t xml:space="preserve">زد Zid</t>
  </si>
  <si>
    <t xml:space="preserve">مهندس ذكاء اصطناعي (يوليو 2026)</t>
  </si>
  <si>
    <t xml:space="preserve">LLMs · RAG</t>
  </si>
  <si>
    <t xml:space="preserve">NVIDIA certs + LLM-Pro + NCA-GENL (3 برامج) · منشور 212+ تفاعلًا</t>
  </si>
  <si>
    <t xml:space="preserve">ثلاثة برامج مؤرّخة + ترقية مؤرّخة بالشهر</t>
  </si>
  <si>
    <t xml:space="preserve">LinkedIn experience ✔ 28 Aug</t>
  </si>
  <si>
    <t xml:space="preserve">سعيد آل جابر الشهراني</t>
  </si>
  <si>
    <t xml:space="preserve">Saeed Al-Jaber Al-Shahrani</t>
  </si>
  <si>
    <t xml:space="preserve">— (غير مسجّل)</t>
  </si>
  <si>
    <t xml:space="preserve">GenAI + إدارة البيانات</t>
  </si>
  <si>
    <t xml:space="preserve">Generative AI · Data Governance (الجسر الوحيد)</t>
  </si>
  <si>
    <t xml:space="preserve">NCA-GENL + 4 NVIDIA DLI + LLM-Pro + محترف إدارة البيانات المعتمد (فبراير 2026) — 4 برامج</t>
  </si>
  <si>
    <t xml:space="preserve">الاسم الوحيد الذي يجمع شهادات GenAI مع اعتماد إدارة البيانات</t>
  </si>
  <si>
    <t xml:space="preserve">لا جهة عمل مسجّلة</t>
  </si>
  <si>
    <t xml:space="preserve">LinkedIn (رابط مسجّل) + سجل داخلي</t>
  </si>
  <si>
    <t xml:space="preserve">حسن القاعري</t>
  </si>
  <si>
    <t xml:space="preserve">Hassn Alqaeri</t>
  </si>
  <si>
    <t xml:space="preserve">LLMs · RAG · AutoML · تحليل المشاعر العربية</t>
  </si>
  <si>
    <t xml:space="preserve">معسكر LLM 2023 + تطوير حلول AI 2026 (مشروع «سند») · ACL Anthology OSACT7/LREC 2026 · GitHub + Kaggle</t>
  </si>
  <si>
    <t xml:space="preserve">بناء مواد وتمارين: مشروع RAG ثنائي اللغة منشور + ورقة ACL</t>
  </si>
  <si>
    <t xml:space="preserve">GitHub/ACL (روابط مسجّلة)</t>
  </si>
  <si>
    <t xml:space="preserve">إجمالي المرشحين</t>
  </si>
  <si>
    <t xml:space="preserve">الفئة أ / ب / ج</t>
  </si>
  <si>
    <t xml:space="preserve">من القاعدة / خارجيون</t>
  </si>
  <si>
    <t xml:space="preserve">أسماء جديدة</t>
  </si>
  <si>
    <t xml:space="preserve">متوسط الجاهزية</t>
  </si>
  <si>
    <t xml:space="preserve">المصدر: Graduates_Database.md (2,941 سجلًا، ترقيم 12 سبتمبر 2026) + صفحات الخبرة على لينكدإن (حساب مسجَّل، 17 سبتمبر) + الصفحات الرسمية في عمود «مصدر التحقق». درجة الجاهزية تقدير محلّل (0–100) من نموذج السبعة عوامل + مراجعة يدوية؛ ليست قياسًا لأداء تدريبي.</t>
  </si>
  <si>
    <t xml:space="preserve">الاسم</t>
  </si>
  <si>
    <t xml:space="preserve">ما يجب التحقق منه</t>
  </si>
  <si>
    <t xml:space="preserve">القناة</t>
  </si>
  <si>
    <t xml:space="preserve">E7 + خارج</t>
  </si>
  <si>
    <t xml:space="preserve">علاء صغير · علي الوهيبي · أسماء الزبيدي (في القاعدة)</t>
  </si>
  <si>
    <t xml:space="preserve">انقطع الجهاز قبل قراءة صفحات الخبرة</t>
  </si>
  <si>
    <t xml:space="preserve">لينكدإن مسجَّل</t>
  </si>
  <si>
    <t xml:space="preserve">د. جواهر السرحان</t>
  </si>
  <si>
    <t xml:space="preserve">خارج القائمة: أستاذة مساعدة KKU + NCA-GENL + NCA-Multimodal + AWS AI/ML Scholar؛ ثقة 55 ورابط واحد — تُرقّى فور تأكيد الرتبة</t>
  </si>
  <si>
    <t xml:space="preserve">لينكدإن مسجَّل / صفحة KKU</t>
  </si>
  <si>
    <t xml:space="preserve">رغد العوفي</t>
  </si>
  <si>
    <t xml:space="preserve">خارج القائمة: أكثر خرّيجي القاعدة برامجَ (6) — لا دور مسجّل (وزارة الاتصالات)</t>
  </si>
  <si>
    <t xml:space="preserve">فريح العنزي</t>
  </si>
  <si>
    <t xml:space="preserve">خارج القائمة: مدير تنفيذي للإحصاء (SFDA)، دكتوراه — الدور من مجمّع بيانات</t>
  </si>
  <si>
    <t xml:space="preserve">صفحة الهيئة / لينكدإن</t>
  </si>
  <si>
    <t xml:space="preserve">نايف العيّاد (Naif Alayaid)</t>
  </si>
  <si>
    <t xml:space="preserve">خرّيج أبطال صيف الذكاء الاصطناعي 2022 (مسار هندسة البيانات) غير مسجّل في القاعدة — يُضاف سجلًا؛ CDMP + AI بوزارة الخارجية (يونيو 2026)</t>
  </si>
  <si>
    <t xml:space="preserve">لينكدإن experience ✔ 17 Sep</t>
  </si>
  <si>
    <t xml:space="preserve">صفا المهداوي</t>
  </si>
  <si>
    <t xml:space="preserve">خارج القائمة: إدارة وحوكمة البيانات (Tamayouz) — لا رابط علني</t>
  </si>
  <si>
    <t xml:space="preserve">المسار / البُعد</t>
  </si>
  <si>
    <t xml:space="preserve">الفجوة</t>
  </si>
  <si>
    <t xml:space="preserve">مصدر التوريد المقترح</t>
  </si>
  <si>
    <t xml:space="preserve">Agentic AI</t>
  </si>
  <si>
    <t xml:space="preserve">لا مرشّح في القاعدة بخبرة تدريس في الوكلاء؛ الاسم الوحيد بخبرة تدريب (عمر ناجار) يعمل لدى أكاديمية طويق</t>
  </si>
  <si>
    <t xml:space="preserve">مهندسو الوكلاء في HUMAIN/Elm/Mozn/Lean</t>
  </si>
  <si>
    <t xml:space="preserve">اسم داخلي قوي واحد (أحمد العرج) + سعيد الشهراني؛ 324 خرّيج حوكمة بلا مرشّح تدريسي</t>
  </si>
  <si>
    <t xml:space="preserve">سجل «محترف إدارة البيانات المعتمد» الداخلي · حاملو CDMP/DAMA في مكتب البيانات الوطنية</t>
  </si>
  <si>
    <t xml:space="preserve">اسم واحد (شيماء الغامدي — وزارة العدل)</t>
  </si>
  <si>
    <t xml:space="preserve">مسؤولو أخلاقيات AI في الجهات الحكومية · NAII focal points</t>
  </si>
  <si>
    <t xml:space="preserve">Data Engineering</t>
  </si>
  <si>
    <t xml:space="preserve">اسمان فقط (باجنيد، اليافعي)</t>
  </si>
  <si>
    <t xml:space="preserve">خرّيجو DAICO 2026 بعد اتخاذ أدوار (إعادة قراءة ديسمبر) · مهندسو منصات البيانات في stc/Aramco</t>
  </si>
  <si>
    <t xml:space="preserve">NVIDIA DLI Instructor / University Ambassador</t>
  </si>
  <si>
    <t xml:space="preserve">سُدّت جزئيًا: 6 في القائمة (كانت صفرًا)</t>
  </si>
  <si>
    <t xml:space="preserve">صفحة 2 من بحث «DLI Instructor Saudi» · قوائم NVIDIA للجامعات الشريكة</t>
  </si>
  <si>
    <t xml:space="preserve">مقياس الأداء التدريبي</t>
  </si>
  <si>
    <t xml:space="preserve">لا ساعات تدريب ولا تقييمات متدربين لأي اسم</t>
  </si>
  <si>
    <t xml:space="preserve">إضافة trainingHours و traineeRating · الربط بمنظومة اعتماد المدربين v4.0</t>
  </si>
  <si>
    <t xml:space="preserve">الشارات (Badges)</t>
  </si>
  <si>
    <t xml:space="preserve">لا حقل شارات؛ حاملو الشارات المتعددة مسجّلون أصلًا لكن عناوينهم الحيّة أغنى من سجلاتهم</t>
  </si>
  <si>
    <t xml:space="preserve">استيراد سجل الشارات من منصة الأكاديمية · تحديث عناوين السجلات من لينكدإن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</si>
</sst>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8" min="7" style="0" width="30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36"/>
    <col collapsed="false" customWidth="true" hidden="false" outlineLevel="0" max="13" min="13" style="0" width="44"/>
    <col collapsed="false" customWidth="true" hidden="false" outlineLevel="0" max="14" min="14" style="0" width="32"/>
    <col collapsed="false" customWidth="true" hidden="false" outlineLevel="0" max="15" min="15" style="0" width="24"/>
    <col collapsed="false" customWidth="true" hidden="false" outlineLevel="0" max="16" min="16" style="0" width="7"/>
    <col collapsed="false" customWidth="true" hidden="false" outlineLevel="0" max="17" min="17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35.05" hidden="false" customHeight="false" outlineLevel="0" collapsed="false">
      <c r="A2" s="2" t="n">
        <v>1</v>
      </c>
      <c r="B2" s="2" t="s">
        <v>17</v>
      </c>
      <c r="C2" s="2" t="s">
        <v>18</v>
      </c>
      <c r="D2" s="2" t="n">
        <v>217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/>
      <c r="O2" s="2" t="s">
        <v>28</v>
      </c>
      <c r="P2" s="2"/>
      <c r="Q2" s="2" t="n">
        <v>95</v>
      </c>
    </row>
    <row r="3" customFormat="false" ht="35.05" hidden="false" customHeight="false" outlineLevel="0" collapsed="false">
      <c r="A3" s="2" t="n">
        <v>2</v>
      </c>
      <c r="B3" s="2" t="s">
        <v>17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n">
        <v>94</v>
      </c>
    </row>
    <row r="4" customFormat="false" ht="23.85" hidden="false" customHeight="false" outlineLevel="0" collapsed="false">
      <c r="A4" s="2" t="n">
        <v>3</v>
      </c>
      <c r="B4" s="2" t="s">
        <v>17</v>
      </c>
      <c r="C4" s="2" t="s">
        <v>18</v>
      </c>
      <c r="D4" s="2" t="n">
        <v>329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36</v>
      </c>
      <c r="K4" s="2" t="s">
        <v>48</v>
      </c>
      <c r="L4" s="2" t="s">
        <v>49</v>
      </c>
      <c r="M4" s="2" t="s">
        <v>50</v>
      </c>
      <c r="N4" s="2"/>
      <c r="O4" s="2" t="s">
        <v>51</v>
      </c>
      <c r="P4" s="2"/>
      <c r="Q4" s="2" t="n">
        <v>93</v>
      </c>
    </row>
    <row r="5" customFormat="false" ht="23.85" hidden="false" customHeight="false" outlineLevel="0" collapsed="false">
      <c r="A5" s="2" t="n">
        <v>4</v>
      </c>
      <c r="B5" s="2" t="s">
        <v>17</v>
      </c>
      <c r="C5" s="2" t="s">
        <v>18</v>
      </c>
      <c r="D5" s="2" t="n">
        <v>323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2" t="s">
        <v>62</v>
      </c>
      <c r="P5" s="2"/>
      <c r="Q5" s="2" t="n">
        <v>92</v>
      </c>
    </row>
    <row r="6" customFormat="false" ht="23.85" hidden="false" customHeight="false" outlineLevel="0" collapsed="false">
      <c r="A6" s="2" t="n">
        <v>5</v>
      </c>
      <c r="B6" s="2" t="s">
        <v>17</v>
      </c>
      <c r="C6" s="2" t="s">
        <v>29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24</v>
      </c>
      <c r="K6" s="2" t="s">
        <v>69</v>
      </c>
      <c r="L6" s="2" t="s">
        <v>70</v>
      </c>
      <c r="M6" s="2" t="s">
        <v>71</v>
      </c>
      <c r="N6" s="2"/>
      <c r="O6" s="2" t="s">
        <v>41</v>
      </c>
      <c r="P6" s="2" t="s">
        <v>42</v>
      </c>
      <c r="Q6" s="2" t="n">
        <v>92</v>
      </c>
    </row>
    <row r="7" customFormat="false" ht="35.05" hidden="false" customHeight="false" outlineLevel="0" collapsed="false">
      <c r="A7" s="2" t="n">
        <v>6</v>
      </c>
      <c r="B7" s="2" t="s">
        <v>17</v>
      </c>
      <c r="C7" s="2" t="s">
        <v>18</v>
      </c>
      <c r="D7" s="2" t="n">
        <v>333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81</v>
      </c>
      <c r="O7" s="2" t="s">
        <v>82</v>
      </c>
      <c r="P7" s="2"/>
      <c r="Q7" s="2" t="n">
        <v>91</v>
      </c>
    </row>
    <row r="8" customFormat="false" ht="35.05" hidden="false" customHeight="false" outlineLevel="0" collapsed="false">
      <c r="A8" s="2" t="n">
        <v>7</v>
      </c>
      <c r="B8" s="2" t="s">
        <v>17</v>
      </c>
      <c r="C8" s="2" t="s">
        <v>29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24</v>
      </c>
      <c r="K8" s="2" t="s">
        <v>89</v>
      </c>
      <c r="L8" s="2" t="s">
        <v>90</v>
      </c>
      <c r="M8" s="2" t="s">
        <v>91</v>
      </c>
      <c r="N8" s="2" t="s">
        <v>92</v>
      </c>
      <c r="O8" s="2" t="s">
        <v>41</v>
      </c>
      <c r="P8" s="2" t="s">
        <v>42</v>
      </c>
      <c r="Q8" s="2" t="n">
        <v>90</v>
      </c>
    </row>
    <row r="9" customFormat="false" ht="23.85" hidden="false" customHeight="false" outlineLevel="0" collapsed="false">
      <c r="A9" s="2" t="n">
        <v>8</v>
      </c>
      <c r="B9" s="2" t="s">
        <v>17</v>
      </c>
      <c r="C9" s="2" t="s">
        <v>18</v>
      </c>
      <c r="D9" s="2" t="n">
        <v>290</v>
      </c>
      <c r="E9" s="2" t="s">
        <v>93</v>
      </c>
      <c r="F9" s="2" t="s">
        <v>94</v>
      </c>
      <c r="G9" s="2" t="s">
        <v>95</v>
      </c>
      <c r="H9" s="2" t="s">
        <v>96</v>
      </c>
      <c r="I9" s="2" t="s">
        <v>97</v>
      </c>
      <c r="J9" s="2" t="s">
        <v>57</v>
      </c>
      <c r="K9" s="2" t="s">
        <v>98</v>
      </c>
      <c r="L9" s="2" t="s">
        <v>99</v>
      </c>
      <c r="M9" s="2" t="s">
        <v>100</v>
      </c>
      <c r="N9" s="2" t="s">
        <v>101</v>
      </c>
      <c r="O9" s="2" t="s">
        <v>102</v>
      </c>
      <c r="P9" s="2"/>
      <c r="Q9" s="2" t="n">
        <v>88</v>
      </c>
    </row>
    <row r="10" customFormat="false" ht="35.05" hidden="false" customHeight="false" outlineLevel="0" collapsed="false">
      <c r="A10" s="2" t="n">
        <v>9</v>
      </c>
      <c r="B10" s="2" t="s">
        <v>17</v>
      </c>
      <c r="C10" s="2" t="s">
        <v>18</v>
      </c>
      <c r="D10" s="2" t="n">
        <v>12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98</v>
      </c>
      <c r="L10" s="2" t="s">
        <v>109</v>
      </c>
      <c r="M10" s="2" t="s">
        <v>110</v>
      </c>
      <c r="N10" s="2" t="s">
        <v>111</v>
      </c>
      <c r="O10" s="2" t="s">
        <v>112</v>
      </c>
      <c r="P10" s="2" t="s">
        <v>42</v>
      </c>
      <c r="Q10" s="2" t="n">
        <v>88</v>
      </c>
    </row>
    <row r="11" customFormat="false" ht="35.05" hidden="false" customHeight="false" outlineLevel="0" collapsed="false">
      <c r="A11" s="2" t="n">
        <v>10</v>
      </c>
      <c r="B11" s="2" t="s">
        <v>17</v>
      </c>
      <c r="C11" s="2" t="s">
        <v>18</v>
      </c>
      <c r="D11" s="2" t="n">
        <v>280</v>
      </c>
      <c r="E11" s="2" t="s">
        <v>113</v>
      </c>
      <c r="F11" s="2" t="s">
        <v>114</v>
      </c>
      <c r="G11" s="2" t="s">
        <v>115</v>
      </c>
      <c r="H11" s="2" t="s">
        <v>106</v>
      </c>
      <c r="I11" s="2" t="s">
        <v>116</v>
      </c>
      <c r="J11" s="2" t="s">
        <v>57</v>
      </c>
      <c r="K11" s="2" t="s">
        <v>117</v>
      </c>
      <c r="L11" s="2" t="s">
        <v>118</v>
      </c>
      <c r="M11" s="2" t="s">
        <v>119</v>
      </c>
      <c r="N11" s="2"/>
      <c r="O11" s="2" t="s">
        <v>120</v>
      </c>
      <c r="P11" s="2" t="s">
        <v>42</v>
      </c>
      <c r="Q11" s="2" t="n">
        <v>87</v>
      </c>
    </row>
    <row r="12" customFormat="false" ht="23.85" hidden="false" customHeight="false" outlineLevel="0" collapsed="false">
      <c r="A12" s="2" t="n">
        <v>11</v>
      </c>
      <c r="B12" s="2" t="s">
        <v>17</v>
      </c>
      <c r="C12" s="2" t="s">
        <v>18</v>
      </c>
      <c r="D12" s="2" t="n">
        <v>320</v>
      </c>
      <c r="E12" s="2" t="s">
        <v>121</v>
      </c>
      <c r="F12" s="2" t="s">
        <v>122</v>
      </c>
      <c r="G12" s="2" t="s">
        <v>123</v>
      </c>
      <c r="H12" s="2" t="s">
        <v>124</v>
      </c>
      <c r="I12" s="2" t="s">
        <v>125</v>
      </c>
      <c r="J12" s="2" t="s">
        <v>57</v>
      </c>
      <c r="K12" s="2" t="s">
        <v>98</v>
      </c>
      <c r="L12" s="2" t="s">
        <v>126</v>
      </c>
      <c r="M12" s="2" t="s">
        <v>127</v>
      </c>
      <c r="N12" s="2"/>
      <c r="O12" s="2" t="s">
        <v>128</v>
      </c>
      <c r="P12" s="2"/>
      <c r="Q12" s="2" t="n">
        <v>86</v>
      </c>
    </row>
    <row r="13" customFormat="false" ht="23.85" hidden="false" customHeight="false" outlineLevel="0" collapsed="false">
      <c r="A13" s="2" t="n">
        <v>12</v>
      </c>
      <c r="B13" s="2" t="s">
        <v>17</v>
      </c>
      <c r="C13" s="2" t="s">
        <v>18</v>
      </c>
      <c r="D13" s="2" t="n">
        <v>281</v>
      </c>
      <c r="E13" s="2" t="s">
        <v>129</v>
      </c>
      <c r="F13" s="2" t="s">
        <v>130</v>
      </c>
      <c r="G13" s="2" t="s">
        <v>131</v>
      </c>
      <c r="H13" s="2" t="s">
        <v>106</v>
      </c>
      <c r="I13" s="2" t="s">
        <v>132</v>
      </c>
      <c r="J13" s="2" t="s">
        <v>133</v>
      </c>
      <c r="K13" s="2" t="s">
        <v>134</v>
      </c>
      <c r="L13" s="2" t="s">
        <v>135</v>
      </c>
      <c r="M13" s="2" t="s">
        <v>136</v>
      </c>
      <c r="N13" s="2"/>
      <c r="O13" s="2" t="s">
        <v>120</v>
      </c>
      <c r="P13" s="2" t="s">
        <v>42</v>
      </c>
      <c r="Q13" s="2" t="n">
        <v>86</v>
      </c>
    </row>
    <row r="14" customFormat="false" ht="35.05" hidden="false" customHeight="false" outlineLevel="0" collapsed="false">
      <c r="A14" s="2" t="n">
        <v>13</v>
      </c>
      <c r="B14" s="2" t="s">
        <v>17</v>
      </c>
      <c r="C14" s="2" t="s">
        <v>18</v>
      </c>
      <c r="D14" s="2" t="n">
        <v>218</v>
      </c>
      <c r="E14" s="2" t="s">
        <v>137</v>
      </c>
      <c r="F14" s="2" t="s">
        <v>138</v>
      </c>
      <c r="G14" s="2" t="s">
        <v>139</v>
      </c>
      <c r="H14" s="2" t="s">
        <v>140</v>
      </c>
      <c r="I14" s="2" t="s">
        <v>141</v>
      </c>
      <c r="J14" s="2" t="s">
        <v>142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42</v>
      </c>
      <c r="Q14" s="2" t="n">
        <v>84</v>
      </c>
    </row>
    <row r="15" customFormat="false" ht="35.05" hidden="false" customHeight="false" outlineLevel="0" collapsed="false">
      <c r="A15" s="2" t="n">
        <v>14</v>
      </c>
      <c r="B15" s="2" t="s">
        <v>148</v>
      </c>
      <c r="C15" s="2" t="s">
        <v>29</v>
      </c>
      <c r="D15" s="2" t="s">
        <v>149</v>
      </c>
      <c r="E15" s="2" t="s">
        <v>150</v>
      </c>
      <c r="F15" s="2" t="s">
        <v>151</v>
      </c>
      <c r="G15" s="2" t="s">
        <v>152</v>
      </c>
      <c r="H15" s="2" t="s">
        <v>153</v>
      </c>
      <c r="I15" s="2" t="s">
        <v>154</v>
      </c>
      <c r="J15" s="2" t="s">
        <v>155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41</v>
      </c>
      <c r="P15" s="2" t="s">
        <v>42</v>
      </c>
      <c r="Q15" s="2" t="n">
        <v>84</v>
      </c>
    </row>
    <row r="16" customFormat="false" ht="23.85" hidden="false" customHeight="false" outlineLevel="0" collapsed="false">
      <c r="A16" s="2" t="n">
        <v>15</v>
      </c>
      <c r="B16" s="2" t="s">
        <v>148</v>
      </c>
      <c r="C16" s="2" t="s">
        <v>18</v>
      </c>
      <c r="D16" s="2" t="n">
        <v>408</v>
      </c>
      <c r="E16" s="2" t="s">
        <v>160</v>
      </c>
      <c r="F16" s="2" t="s">
        <v>161</v>
      </c>
      <c r="G16" s="2" t="s">
        <v>162</v>
      </c>
      <c r="H16" s="2" t="s">
        <v>163</v>
      </c>
      <c r="I16" s="2" t="s">
        <v>164</v>
      </c>
      <c r="J16" s="2" t="s">
        <v>165</v>
      </c>
      <c r="K16" s="2" t="s">
        <v>166</v>
      </c>
      <c r="L16" s="2" t="s">
        <v>167</v>
      </c>
      <c r="M16" s="2" t="s">
        <v>168</v>
      </c>
      <c r="N16" s="2" t="s">
        <v>169</v>
      </c>
      <c r="O16" s="2" t="s">
        <v>170</v>
      </c>
      <c r="P16" s="2"/>
      <c r="Q16" s="2" t="n">
        <v>82</v>
      </c>
    </row>
    <row r="17" customFormat="false" ht="23.85" hidden="false" customHeight="false" outlineLevel="0" collapsed="false">
      <c r="A17" s="2" t="n">
        <v>16</v>
      </c>
      <c r="B17" s="2" t="s">
        <v>148</v>
      </c>
      <c r="C17" s="2" t="s">
        <v>18</v>
      </c>
      <c r="D17" s="2" t="n">
        <v>297</v>
      </c>
      <c r="E17" s="2" t="s">
        <v>171</v>
      </c>
      <c r="F17" s="2" t="s">
        <v>172</v>
      </c>
      <c r="G17" s="2" t="s">
        <v>173</v>
      </c>
      <c r="H17" s="2" t="s">
        <v>174</v>
      </c>
      <c r="I17" s="2" t="s">
        <v>175</v>
      </c>
      <c r="J17" s="2" t="s">
        <v>57</v>
      </c>
      <c r="K17" s="2" t="s">
        <v>176</v>
      </c>
      <c r="L17" s="2" t="s">
        <v>177</v>
      </c>
      <c r="M17" s="2" t="s">
        <v>178</v>
      </c>
      <c r="N17" s="2"/>
      <c r="O17" s="2" t="s">
        <v>179</v>
      </c>
      <c r="P17" s="2"/>
      <c r="Q17" s="2" t="n">
        <v>80</v>
      </c>
    </row>
    <row r="18" customFormat="false" ht="23.85" hidden="false" customHeight="false" outlineLevel="0" collapsed="false">
      <c r="A18" s="2" t="n">
        <v>17</v>
      </c>
      <c r="B18" s="2" t="s">
        <v>148</v>
      </c>
      <c r="C18" s="2" t="s">
        <v>18</v>
      </c>
      <c r="D18" s="2" t="n">
        <v>332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98</v>
      </c>
      <c r="L18" s="2" t="s">
        <v>186</v>
      </c>
      <c r="M18" s="2" t="s">
        <v>187</v>
      </c>
      <c r="N18" s="2"/>
      <c r="O18" s="2" t="s">
        <v>188</v>
      </c>
      <c r="P18" s="2"/>
      <c r="Q18" s="2" t="n">
        <v>80</v>
      </c>
    </row>
    <row r="19" customFormat="false" ht="23.85" hidden="false" customHeight="false" outlineLevel="0" collapsed="false">
      <c r="A19" s="2" t="n">
        <v>18</v>
      </c>
      <c r="B19" s="2" t="s">
        <v>148</v>
      </c>
      <c r="C19" s="2" t="s">
        <v>18</v>
      </c>
      <c r="D19" s="2" t="n">
        <v>298</v>
      </c>
      <c r="E19" s="2" t="s">
        <v>189</v>
      </c>
      <c r="F19" s="2" t="s">
        <v>190</v>
      </c>
      <c r="G19" s="2" t="s">
        <v>191</v>
      </c>
      <c r="H19" s="2" t="s">
        <v>192</v>
      </c>
      <c r="I19" s="2" t="s">
        <v>193</v>
      </c>
      <c r="J19" s="2" t="s">
        <v>194</v>
      </c>
      <c r="K19" s="2" t="s">
        <v>195</v>
      </c>
      <c r="L19" s="2" t="s">
        <v>196</v>
      </c>
      <c r="M19" s="2" t="s">
        <v>197</v>
      </c>
      <c r="N19" s="2"/>
      <c r="O19" s="2" t="s">
        <v>198</v>
      </c>
      <c r="P19" s="2"/>
      <c r="Q19" s="2" t="n">
        <v>80</v>
      </c>
    </row>
    <row r="20" customFormat="false" ht="35.05" hidden="false" customHeight="false" outlineLevel="0" collapsed="false">
      <c r="A20" s="2" t="n">
        <v>19</v>
      </c>
      <c r="B20" s="2" t="s">
        <v>148</v>
      </c>
      <c r="C20" s="2" t="s">
        <v>18</v>
      </c>
      <c r="D20" s="2" t="n">
        <v>2737</v>
      </c>
      <c r="E20" s="2" t="s">
        <v>199</v>
      </c>
      <c r="F20" s="2" t="s">
        <v>200</v>
      </c>
      <c r="G20" s="2" t="s">
        <v>201</v>
      </c>
      <c r="H20" s="2" t="s">
        <v>202</v>
      </c>
      <c r="I20" s="2" t="s">
        <v>203</v>
      </c>
      <c r="J20" s="2" t="s">
        <v>142</v>
      </c>
      <c r="K20" s="2" t="s">
        <v>204</v>
      </c>
      <c r="L20" s="2" t="s">
        <v>205</v>
      </c>
      <c r="M20" s="2" t="s">
        <v>206</v>
      </c>
      <c r="N20" s="2"/>
      <c r="O20" s="2" t="s">
        <v>207</v>
      </c>
      <c r="P20" s="2" t="s">
        <v>42</v>
      </c>
      <c r="Q20" s="2" t="n">
        <v>80</v>
      </c>
    </row>
    <row r="21" customFormat="false" ht="35.05" hidden="false" customHeight="false" outlineLevel="0" collapsed="false">
      <c r="A21" s="2" t="n">
        <v>20</v>
      </c>
      <c r="B21" s="2" t="s">
        <v>148</v>
      </c>
      <c r="C21" s="2" t="s">
        <v>29</v>
      </c>
      <c r="D21" s="2" t="s">
        <v>208</v>
      </c>
      <c r="E21" s="2" t="s">
        <v>209</v>
      </c>
      <c r="F21" s="2" t="s">
        <v>210</v>
      </c>
      <c r="G21" s="2" t="s">
        <v>211</v>
      </c>
      <c r="H21" s="2" t="s">
        <v>212</v>
      </c>
      <c r="I21" s="2" t="s">
        <v>213</v>
      </c>
      <c r="J21" s="2" t="s">
        <v>214</v>
      </c>
      <c r="K21" s="2" t="s">
        <v>215</v>
      </c>
      <c r="L21" s="2" t="s">
        <v>216</v>
      </c>
      <c r="M21" s="2" t="s">
        <v>217</v>
      </c>
      <c r="N21" s="2" t="s">
        <v>218</v>
      </c>
      <c r="O21" s="2" t="s">
        <v>41</v>
      </c>
      <c r="P21" s="2" t="s">
        <v>42</v>
      </c>
      <c r="Q21" s="2" t="n">
        <v>80</v>
      </c>
    </row>
    <row r="22" customFormat="false" ht="35.05" hidden="false" customHeight="false" outlineLevel="0" collapsed="false">
      <c r="A22" s="2" t="n">
        <v>21</v>
      </c>
      <c r="B22" s="2" t="s">
        <v>148</v>
      </c>
      <c r="C22" s="2" t="s">
        <v>29</v>
      </c>
      <c r="D22" s="2" t="s">
        <v>219</v>
      </c>
      <c r="E22" s="2" t="s">
        <v>220</v>
      </c>
      <c r="F22" s="2" t="s">
        <v>221</v>
      </c>
      <c r="G22" s="2" t="s">
        <v>222</v>
      </c>
      <c r="H22" s="2" t="s">
        <v>223</v>
      </c>
      <c r="I22" s="2" t="s">
        <v>224</v>
      </c>
      <c r="J22" s="2" t="s">
        <v>225</v>
      </c>
      <c r="K22" s="2" t="s">
        <v>226</v>
      </c>
      <c r="L22" s="2" t="s">
        <v>227</v>
      </c>
      <c r="M22" s="2" t="s">
        <v>228</v>
      </c>
      <c r="N22" s="2" t="s">
        <v>229</v>
      </c>
      <c r="O22" s="2" t="s">
        <v>41</v>
      </c>
      <c r="P22" s="2" t="s">
        <v>42</v>
      </c>
      <c r="Q22" s="2" t="n">
        <v>80</v>
      </c>
    </row>
    <row r="23" customFormat="false" ht="23.85" hidden="false" customHeight="false" outlineLevel="0" collapsed="false">
      <c r="A23" s="2" t="n">
        <v>22</v>
      </c>
      <c r="B23" s="2" t="s">
        <v>148</v>
      </c>
      <c r="C23" s="2" t="s">
        <v>18</v>
      </c>
      <c r="D23" s="2" t="n">
        <v>326</v>
      </c>
      <c r="E23" s="2" t="s">
        <v>230</v>
      </c>
      <c r="F23" s="2" t="s">
        <v>231</v>
      </c>
      <c r="G23" s="2" t="s">
        <v>232</v>
      </c>
      <c r="H23" s="2" t="s">
        <v>106</v>
      </c>
      <c r="I23" s="2" t="s">
        <v>233</v>
      </c>
      <c r="J23" s="2" t="s">
        <v>36</v>
      </c>
      <c r="K23" s="2" t="s">
        <v>98</v>
      </c>
      <c r="L23" s="2" t="s">
        <v>234</v>
      </c>
      <c r="M23" s="2" t="s">
        <v>235</v>
      </c>
      <c r="N23" s="2" t="s">
        <v>236</v>
      </c>
      <c r="O23" s="2" t="s">
        <v>237</v>
      </c>
      <c r="P23" s="2" t="s">
        <v>42</v>
      </c>
      <c r="Q23" s="2" t="n">
        <v>79</v>
      </c>
    </row>
    <row r="24" customFormat="false" ht="23.85" hidden="false" customHeight="false" outlineLevel="0" collapsed="false">
      <c r="A24" s="2" t="n">
        <v>23</v>
      </c>
      <c r="B24" s="2" t="s">
        <v>148</v>
      </c>
      <c r="C24" s="2" t="s">
        <v>18</v>
      </c>
      <c r="D24" s="2" t="n">
        <v>2549</v>
      </c>
      <c r="E24" s="2" t="s">
        <v>238</v>
      </c>
      <c r="F24" s="2" t="s">
        <v>239</v>
      </c>
      <c r="G24" s="2" t="s">
        <v>240</v>
      </c>
      <c r="H24" s="2" t="s">
        <v>241</v>
      </c>
      <c r="I24" s="2" t="s">
        <v>242</v>
      </c>
      <c r="J24" s="2" t="s">
        <v>243</v>
      </c>
      <c r="K24" s="2" t="s">
        <v>195</v>
      </c>
      <c r="L24" s="2" t="s">
        <v>244</v>
      </c>
      <c r="M24" s="2" t="s">
        <v>245</v>
      </c>
      <c r="N24" s="2" t="s">
        <v>246</v>
      </c>
      <c r="O24" s="2" t="s">
        <v>247</v>
      </c>
      <c r="P24" s="2"/>
      <c r="Q24" s="2" t="n">
        <v>79</v>
      </c>
    </row>
    <row r="25" customFormat="false" ht="23.85" hidden="false" customHeight="false" outlineLevel="0" collapsed="false">
      <c r="A25" s="2" t="n">
        <v>24</v>
      </c>
      <c r="B25" s="2" t="s">
        <v>148</v>
      </c>
      <c r="C25" s="2" t="s">
        <v>18</v>
      </c>
      <c r="D25" s="2" t="n">
        <v>219</v>
      </c>
      <c r="E25" s="2" t="s">
        <v>248</v>
      </c>
      <c r="F25" s="2" t="s">
        <v>249</v>
      </c>
      <c r="G25" s="2" t="s">
        <v>250</v>
      </c>
      <c r="H25" s="2" t="s">
        <v>106</v>
      </c>
      <c r="I25" s="2" t="s">
        <v>251</v>
      </c>
      <c r="J25" s="2" t="s">
        <v>252</v>
      </c>
      <c r="K25" s="2" t="s">
        <v>98</v>
      </c>
      <c r="L25" s="2" t="s">
        <v>253</v>
      </c>
      <c r="M25" s="2" t="s">
        <v>254</v>
      </c>
      <c r="N25" s="2" t="s">
        <v>255</v>
      </c>
      <c r="O25" s="2" t="s">
        <v>256</v>
      </c>
      <c r="P25" s="2" t="s">
        <v>42</v>
      </c>
      <c r="Q25" s="2" t="n">
        <v>78</v>
      </c>
    </row>
    <row r="26" customFormat="false" ht="23.85" hidden="false" customHeight="false" outlineLevel="0" collapsed="false">
      <c r="A26" s="2" t="n">
        <v>25</v>
      </c>
      <c r="B26" s="2" t="s">
        <v>148</v>
      </c>
      <c r="C26" s="2" t="s">
        <v>18</v>
      </c>
      <c r="D26" s="2" t="n">
        <v>325</v>
      </c>
      <c r="E26" s="2" t="s">
        <v>257</v>
      </c>
      <c r="F26" s="2" t="s">
        <v>258</v>
      </c>
      <c r="G26" s="2" t="s">
        <v>259</v>
      </c>
      <c r="H26" s="2" t="s">
        <v>260</v>
      </c>
      <c r="I26" s="2" t="s">
        <v>261</v>
      </c>
      <c r="J26" s="2" t="s">
        <v>262</v>
      </c>
      <c r="K26" s="2" t="s">
        <v>263</v>
      </c>
      <c r="L26" s="2" t="s">
        <v>264</v>
      </c>
      <c r="M26" s="2" t="s">
        <v>265</v>
      </c>
      <c r="N26" s="2" t="s">
        <v>266</v>
      </c>
      <c r="O26" s="2" t="s">
        <v>267</v>
      </c>
      <c r="P26" s="2"/>
      <c r="Q26" s="2" t="n">
        <v>78</v>
      </c>
    </row>
    <row r="27" customFormat="false" ht="23.85" hidden="false" customHeight="false" outlineLevel="0" collapsed="false">
      <c r="A27" s="2" t="n">
        <v>26</v>
      </c>
      <c r="B27" s="2" t="s">
        <v>148</v>
      </c>
      <c r="C27" s="2" t="s">
        <v>18</v>
      </c>
      <c r="D27" s="2" t="n">
        <v>15</v>
      </c>
      <c r="E27" s="2" t="s">
        <v>268</v>
      </c>
      <c r="F27" s="2" t="s">
        <v>269</v>
      </c>
      <c r="G27" s="2" t="s">
        <v>270</v>
      </c>
      <c r="H27" s="2" t="s">
        <v>271</v>
      </c>
      <c r="I27" s="2" t="s">
        <v>272</v>
      </c>
      <c r="J27" s="2" t="s">
        <v>273</v>
      </c>
      <c r="K27" s="2" t="s">
        <v>274</v>
      </c>
      <c r="L27" s="2" t="s">
        <v>275</v>
      </c>
      <c r="M27" s="2" t="s">
        <v>276</v>
      </c>
      <c r="N27" s="2" t="s">
        <v>277</v>
      </c>
      <c r="O27" s="2" t="s">
        <v>278</v>
      </c>
      <c r="P27" s="2"/>
      <c r="Q27" s="2" t="n">
        <v>78</v>
      </c>
    </row>
    <row r="28" customFormat="false" ht="23.85" hidden="false" customHeight="false" outlineLevel="0" collapsed="false">
      <c r="A28" s="2" t="n">
        <v>27</v>
      </c>
      <c r="B28" s="2" t="s">
        <v>148</v>
      </c>
      <c r="C28" s="2" t="s">
        <v>18</v>
      </c>
      <c r="D28" s="2" t="n">
        <v>75</v>
      </c>
      <c r="E28" s="2" t="s">
        <v>279</v>
      </c>
      <c r="F28" s="2" t="s">
        <v>280</v>
      </c>
      <c r="G28" s="2" t="s">
        <v>281</v>
      </c>
      <c r="H28" s="2" t="s">
        <v>282</v>
      </c>
      <c r="I28" s="2" t="s">
        <v>283</v>
      </c>
      <c r="J28" s="2" t="s">
        <v>284</v>
      </c>
      <c r="K28" s="2" t="s">
        <v>195</v>
      </c>
      <c r="L28" s="2" t="s">
        <v>285</v>
      </c>
      <c r="M28" s="2" t="s">
        <v>286</v>
      </c>
      <c r="N28" s="2" t="s">
        <v>287</v>
      </c>
      <c r="O28" s="2" t="s">
        <v>288</v>
      </c>
      <c r="P28" s="2"/>
      <c r="Q28" s="2" t="n">
        <v>78</v>
      </c>
    </row>
    <row r="29" customFormat="false" ht="23.85" hidden="false" customHeight="false" outlineLevel="0" collapsed="false">
      <c r="A29" s="2" t="n">
        <v>28</v>
      </c>
      <c r="B29" s="2" t="s">
        <v>148</v>
      </c>
      <c r="C29" s="2" t="s">
        <v>18</v>
      </c>
      <c r="D29" s="2" t="n">
        <v>327</v>
      </c>
      <c r="E29" s="2" t="s">
        <v>289</v>
      </c>
      <c r="F29" s="2" t="s">
        <v>290</v>
      </c>
      <c r="G29" s="2" t="s">
        <v>291</v>
      </c>
      <c r="H29" s="2" t="s">
        <v>124</v>
      </c>
      <c r="I29" s="2" t="s">
        <v>292</v>
      </c>
      <c r="J29" s="2" t="s">
        <v>293</v>
      </c>
      <c r="K29" s="2" t="s">
        <v>98</v>
      </c>
      <c r="L29" s="2" t="s">
        <v>294</v>
      </c>
      <c r="M29" s="2" t="s">
        <v>295</v>
      </c>
      <c r="N29" s="2"/>
      <c r="O29" s="2" t="s">
        <v>296</v>
      </c>
      <c r="P29" s="2" t="s">
        <v>42</v>
      </c>
      <c r="Q29" s="2" t="n">
        <v>77</v>
      </c>
    </row>
    <row r="30" customFormat="false" ht="23.85" hidden="false" customHeight="false" outlineLevel="0" collapsed="false">
      <c r="A30" s="2" t="n">
        <v>29</v>
      </c>
      <c r="B30" s="2" t="s">
        <v>148</v>
      </c>
      <c r="C30" s="2" t="s">
        <v>18</v>
      </c>
      <c r="D30" s="2" t="n">
        <v>2273</v>
      </c>
      <c r="E30" s="2" t="s">
        <v>297</v>
      </c>
      <c r="F30" s="2" t="s">
        <v>298</v>
      </c>
      <c r="G30" s="2" t="s">
        <v>21</v>
      </c>
      <c r="H30" s="2" t="s">
        <v>299</v>
      </c>
      <c r="I30" s="2" t="s">
        <v>300</v>
      </c>
      <c r="J30" s="2" t="s">
        <v>243</v>
      </c>
      <c r="K30" s="2" t="s">
        <v>301</v>
      </c>
      <c r="L30" s="2" t="s">
        <v>302</v>
      </c>
      <c r="M30" s="2" t="s">
        <v>303</v>
      </c>
      <c r="N30" s="2" t="s">
        <v>304</v>
      </c>
      <c r="O30" s="2" t="s">
        <v>305</v>
      </c>
      <c r="P30" s="2"/>
      <c r="Q30" s="2" t="n">
        <v>77</v>
      </c>
    </row>
    <row r="31" customFormat="false" ht="23.85" hidden="false" customHeight="false" outlineLevel="0" collapsed="false">
      <c r="A31" s="2" t="n">
        <v>30</v>
      </c>
      <c r="B31" s="2" t="s">
        <v>148</v>
      </c>
      <c r="C31" s="2" t="s">
        <v>18</v>
      </c>
      <c r="D31" s="2" t="n">
        <v>314</v>
      </c>
      <c r="E31" s="2" t="s">
        <v>306</v>
      </c>
      <c r="F31" s="2" t="s">
        <v>307</v>
      </c>
      <c r="G31" s="2" t="s">
        <v>308</v>
      </c>
      <c r="H31" s="2" t="s">
        <v>174</v>
      </c>
      <c r="I31" s="2" t="s">
        <v>309</v>
      </c>
      <c r="J31" s="2" t="s">
        <v>142</v>
      </c>
      <c r="K31" s="2" t="s">
        <v>176</v>
      </c>
      <c r="L31" s="2" t="s">
        <v>310</v>
      </c>
      <c r="M31" s="2" t="s">
        <v>311</v>
      </c>
      <c r="N31" s="2" t="s">
        <v>312</v>
      </c>
      <c r="O31" s="2" t="s">
        <v>313</v>
      </c>
      <c r="P31" s="2" t="s">
        <v>42</v>
      </c>
      <c r="Q31" s="2" t="n">
        <v>76</v>
      </c>
    </row>
    <row r="32" customFormat="false" ht="23.85" hidden="false" customHeight="false" outlineLevel="0" collapsed="false">
      <c r="A32" s="2" t="n">
        <v>31</v>
      </c>
      <c r="B32" s="2" t="s">
        <v>148</v>
      </c>
      <c r="C32" s="2" t="s">
        <v>18</v>
      </c>
      <c r="D32" s="2" t="n">
        <v>384</v>
      </c>
      <c r="E32" s="2" t="s">
        <v>314</v>
      </c>
      <c r="F32" s="2" t="s">
        <v>315</v>
      </c>
      <c r="G32" s="2" t="s">
        <v>316</v>
      </c>
      <c r="H32" s="2" t="s">
        <v>317</v>
      </c>
      <c r="I32" s="2" t="s">
        <v>318</v>
      </c>
      <c r="J32" s="2" t="s">
        <v>319</v>
      </c>
      <c r="K32" s="2" t="s">
        <v>320</v>
      </c>
      <c r="L32" s="2" t="s">
        <v>321</v>
      </c>
      <c r="M32" s="2" t="s">
        <v>322</v>
      </c>
      <c r="N32" s="2" t="s">
        <v>323</v>
      </c>
      <c r="O32" s="2" t="s">
        <v>324</v>
      </c>
      <c r="P32" s="2"/>
      <c r="Q32" s="2" t="n">
        <v>76</v>
      </c>
    </row>
    <row r="33" customFormat="false" ht="35.05" hidden="false" customHeight="false" outlineLevel="0" collapsed="false">
      <c r="A33" s="2" t="n">
        <v>32</v>
      </c>
      <c r="B33" s="2" t="s">
        <v>148</v>
      </c>
      <c r="C33" s="2" t="s">
        <v>29</v>
      </c>
      <c r="D33" s="2" t="s">
        <v>325</v>
      </c>
      <c r="E33" s="2" t="s">
        <v>326</v>
      </c>
      <c r="F33" s="2" t="s">
        <v>327</v>
      </c>
      <c r="G33" s="2" t="s">
        <v>328</v>
      </c>
      <c r="H33" s="2" t="s">
        <v>329</v>
      </c>
      <c r="I33" s="2" t="s">
        <v>330</v>
      </c>
      <c r="J33" s="2" t="s">
        <v>331</v>
      </c>
      <c r="K33" s="2" t="s">
        <v>332</v>
      </c>
      <c r="L33" s="2" t="s">
        <v>333</v>
      </c>
      <c r="M33" s="2" t="s">
        <v>334</v>
      </c>
      <c r="N33" s="2" t="s">
        <v>335</v>
      </c>
      <c r="O33" s="2" t="s">
        <v>41</v>
      </c>
      <c r="P33" s="2" t="s">
        <v>42</v>
      </c>
      <c r="Q33" s="2" t="n">
        <v>76</v>
      </c>
    </row>
    <row r="34" customFormat="false" ht="23.85" hidden="false" customHeight="false" outlineLevel="0" collapsed="false">
      <c r="A34" s="2" t="n">
        <v>33</v>
      </c>
      <c r="B34" s="2" t="s">
        <v>148</v>
      </c>
      <c r="C34" s="2" t="s">
        <v>29</v>
      </c>
      <c r="D34" s="2" t="s">
        <v>336</v>
      </c>
      <c r="E34" s="2" t="s">
        <v>337</v>
      </c>
      <c r="F34" s="2" t="s">
        <v>338</v>
      </c>
      <c r="G34" s="2" t="s">
        <v>339</v>
      </c>
      <c r="H34" s="2" t="s">
        <v>340</v>
      </c>
      <c r="I34" s="2" t="s">
        <v>341</v>
      </c>
      <c r="J34" s="2" t="s">
        <v>342</v>
      </c>
      <c r="K34" s="2" t="s">
        <v>343</v>
      </c>
      <c r="L34" s="2" t="s">
        <v>344</v>
      </c>
      <c r="M34" s="2" t="s">
        <v>345</v>
      </c>
      <c r="N34" s="2" t="s">
        <v>346</v>
      </c>
      <c r="O34" s="2" t="s">
        <v>347</v>
      </c>
      <c r="P34" s="2" t="s">
        <v>42</v>
      </c>
      <c r="Q34" s="2" t="n">
        <v>76</v>
      </c>
    </row>
    <row r="35" customFormat="false" ht="23.85" hidden="false" customHeight="false" outlineLevel="0" collapsed="false">
      <c r="A35" s="2" t="n">
        <v>34</v>
      </c>
      <c r="B35" s="2" t="s">
        <v>148</v>
      </c>
      <c r="C35" s="2" t="s">
        <v>18</v>
      </c>
      <c r="D35" s="2" t="n">
        <v>90</v>
      </c>
      <c r="E35" s="2" t="s">
        <v>348</v>
      </c>
      <c r="F35" s="2" t="s">
        <v>349</v>
      </c>
      <c r="G35" s="2" t="s">
        <v>350</v>
      </c>
      <c r="H35" s="2" t="s">
        <v>106</v>
      </c>
      <c r="I35" s="2" t="s">
        <v>351</v>
      </c>
      <c r="J35" s="2" t="s">
        <v>133</v>
      </c>
      <c r="K35" s="2" t="s">
        <v>98</v>
      </c>
      <c r="L35" s="2" t="s">
        <v>352</v>
      </c>
      <c r="M35" s="2" t="s">
        <v>353</v>
      </c>
      <c r="N35" s="2" t="s">
        <v>354</v>
      </c>
      <c r="O35" s="2" t="s">
        <v>355</v>
      </c>
      <c r="P35" s="2"/>
      <c r="Q35" s="2" t="n">
        <v>75</v>
      </c>
    </row>
    <row r="36" customFormat="false" ht="23.85" hidden="false" customHeight="false" outlineLevel="0" collapsed="false">
      <c r="A36" s="2" t="n">
        <v>35</v>
      </c>
      <c r="B36" s="2" t="s">
        <v>148</v>
      </c>
      <c r="C36" s="2" t="s">
        <v>18</v>
      </c>
      <c r="D36" s="2" t="n">
        <v>460</v>
      </c>
      <c r="E36" s="2" t="s">
        <v>356</v>
      </c>
      <c r="F36" s="2" t="s">
        <v>357</v>
      </c>
      <c r="G36" s="2" t="s">
        <v>358</v>
      </c>
      <c r="H36" s="2" t="s">
        <v>359</v>
      </c>
      <c r="I36" s="2" t="s">
        <v>360</v>
      </c>
      <c r="J36" s="2" t="s">
        <v>24</v>
      </c>
      <c r="K36" s="2" t="s">
        <v>195</v>
      </c>
      <c r="L36" s="2" t="s">
        <v>361</v>
      </c>
      <c r="M36" s="2" t="s">
        <v>362</v>
      </c>
      <c r="N36" s="2"/>
      <c r="O36" s="2" t="s">
        <v>278</v>
      </c>
      <c r="P36" s="2"/>
      <c r="Q36" s="2" t="n">
        <v>74</v>
      </c>
    </row>
    <row r="37" customFormat="false" ht="46.25" hidden="false" customHeight="false" outlineLevel="0" collapsed="false">
      <c r="A37" s="2" t="n">
        <v>36</v>
      </c>
      <c r="B37" s="2" t="s">
        <v>148</v>
      </c>
      <c r="C37" s="2" t="s">
        <v>18</v>
      </c>
      <c r="D37" s="2" t="n">
        <v>334</v>
      </c>
      <c r="E37" s="2" t="s">
        <v>363</v>
      </c>
      <c r="F37" s="2" t="s">
        <v>364</v>
      </c>
      <c r="G37" s="2" t="s">
        <v>365</v>
      </c>
      <c r="H37" s="2" t="s">
        <v>366</v>
      </c>
      <c r="I37" s="2" t="s">
        <v>367</v>
      </c>
      <c r="J37" s="2" t="s">
        <v>368</v>
      </c>
      <c r="K37" s="2" t="s">
        <v>98</v>
      </c>
      <c r="L37" s="2" t="s">
        <v>369</v>
      </c>
      <c r="M37" s="2" t="s">
        <v>370</v>
      </c>
      <c r="N37" s="2"/>
      <c r="O37" s="2" t="s">
        <v>347</v>
      </c>
      <c r="P37" s="2"/>
      <c r="Q37" s="2" t="n">
        <v>74</v>
      </c>
    </row>
    <row r="38" customFormat="false" ht="23.85" hidden="false" customHeight="false" outlineLevel="0" collapsed="false">
      <c r="A38" s="2" t="n">
        <v>37</v>
      </c>
      <c r="B38" s="2" t="s">
        <v>148</v>
      </c>
      <c r="C38" s="2" t="s">
        <v>29</v>
      </c>
      <c r="D38" s="2" t="s">
        <v>371</v>
      </c>
      <c r="E38" s="2" t="s">
        <v>372</v>
      </c>
      <c r="F38" s="2" t="s">
        <v>373</v>
      </c>
      <c r="G38" s="2" t="s">
        <v>374</v>
      </c>
      <c r="H38" s="2" t="s">
        <v>375</v>
      </c>
      <c r="I38" s="2" t="s">
        <v>376</v>
      </c>
      <c r="J38" s="2" t="s">
        <v>377</v>
      </c>
      <c r="K38" s="2" t="s">
        <v>378</v>
      </c>
      <c r="L38" s="2" t="s">
        <v>379</v>
      </c>
      <c r="M38" s="2" t="s">
        <v>380</v>
      </c>
      <c r="N38" s="2" t="s">
        <v>381</v>
      </c>
      <c r="O38" s="2" t="s">
        <v>41</v>
      </c>
      <c r="P38" s="2" t="s">
        <v>42</v>
      </c>
      <c r="Q38" s="2" t="n">
        <v>74</v>
      </c>
    </row>
    <row r="39" customFormat="false" ht="23.85" hidden="false" customHeight="false" outlineLevel="0" collapsed="false">
      <c r="A39" s="2" t="n">
        <v>38</v>
      </c>
      <c r="B39" s="2" t="s">
        <v>148</v>
      </c>
      <c r="C39" s="2" t="s">
        <v>18</v>
      </c>
      <c r="D39" s="2" t="n">
        <v>2435</v>
      </c>
      <c r="E39" s="2" t="s">
        <v>382</v>
      </c>
      <c r="F39" s="2" t="s">
        <v>383</v>
      </c>
      <c r="G39" s="2" t="s">
        <v>384</v>
      </c>
      <c r="H39" s="2" t="s">
        <v>385</v>
      </c>
      <c r="I39" s="2" t="s">
        <v>386</v>
      </c>
      <c r="J39" s="2" t="s">
        <v>387</v>
      </c>
      <c r="K39" s="2" t="s">
        <v>195</v>
      </c>
      <c r="L39" s="2" t="s">
        <v>388</v>
      </c>
      <c r="M39" s="2" t="s">
        <v>389</v>
      </c>
      <c r="N39" s="2" t="s">
        <v>390</v>
      </c>
      <c r="O39" s="2" t="s">
        <v>278</v>
      </c>
      <c r="P39" s="2"/>
      <c r="Q39" s="2" t="n">
        <v>73</v>
      </c>
    </row>
    <row r="40" customFormat="false" ht="23.85" hidden="false" customHeight="false" outlineLevel="0" collapsed="false">
      <c r="A40" s="2" t="n">
        <v>39</v>
      </c>
      <c r="B40" s="2" t="s">
        <v>148</v>
      </c>
      <c r="C40" s="2" t="s">
        <v>18</v>
      </c>
      <c r="D40" s="2" t="n">
        <v>300</v>
      </c>
      <c r="E40" s="2" t="s">
        <v>391</v>
      </c>
      <c r="F40" s="2" t="s">
        <v>392</v>
      </c>
      <c r="G40" s="2" t="s">
        <v>393</v>
      </c>
      <c r="H40" s="2" t="s">
        <v>394</v>
      </c>
      <c r="I40" s="2" t="s">
        <v>395</v>
      </c>
      <c r="J40" s="2" t="s">
        <v>396</v>
      </c>
      <c r="K40" s="2" t="s">
        <v>195</v>
      </c>
      <c r="L40" s="2" t="s">
        <v>397</v>
      </c>
      <c r="M40" s="2" t="s">
        <v>398</v>
      </c>
      <c r="N40" s="2" t="s">
        <v>399</v>
      </c>
      <c r="O40" s="2" t="s">
        <v>400</v>
      </c>
      <c r="P40" s="2"/>
      <c r="Q40" s="2" t="n">
        <v>72</v>
      </c>
    </row>
    <row r="41" customFormat="false" ht="23.85" hidden="false" customHeight="false" outlineLevel="0" collapsed="false">
      <c r="A41" s="2" t="n">
        <v>40</v>
      </c>
      <c r="B41" s="2" t="s">
        <v>148</v>
      </c>
      <c r="C41" s="2" t="s">
        <v>18</v>
      </c>
      <c r="D41" s="2" t="n">
        <v>331</v>
      </c>
      <c r="E41" s="2" t="s">
        <v>401</v>
      </c>
      <c r="F41" s="2" t="s">
        <v>402</v>
      </c>
      <c r="G41" s="2" t="s">
        <v>403</v>
      </c>
      <c r="H41" s="2" t="s">
        <v>404</v>
      </c>
      <c r="I41" s="2" t="s">
        <v>405</v>
      </c>
      <c r="J41" s="2" t="s">
        <v>406</v>
      </c>
      <c r="K41" s="2" t="s">
        <v>195</v>
      </c>
      <c r="L41" s="2" t="s">
        <v>407</v>
      </c>
      <c r="M41" s="2" t="s">
        <v>408</v>
      </c>
      <c r="N41" s="2" t="s">
        <v>409</v>
      </c>
      <c r="O41" s="2" t="s">
        <v>410</v>
      </c>
      <c r="P41" s="2"/>
      <c r="Q41" s="2" t="n">
        <v>72</v>
      </c>
    </row>
    <row r="42" customFormat="false" ht="23.85" hidden="false" customHeight="false" outlineLevel="0" collapsed="false">
      <c r="A42" s="2" t="n">
        <v>41</v>
      </c>
      <c r="B42" s="2" t="s">
        <v>411</v>
      </c>
      <c r="C42" s="2" t="s">
        <v>18</v>
      </c>
      <c r="D42" s="2" t="n">
        <v>122</v>
      </c>
      <c r="E42" s="2" t="s">
        <v>412</v>
      </c>
      <c r="F42" s="2" t="s">
        <v>413</v>
      </c>
      <c r="G42" s="2" t="s">
        <v>414</v>
      </c>
      <c r="H42" s="2" t="s">
        <v>415</v>
      </c>
      <c r="I42" s="2" t="s">
        <v>416</v>
      </c>
      <c r="J42" s="2" t="s">
        <v>417</v>
      </c>
      <c r="K42" s="2" t="s">
        <v>418</v>
      </c>
      <c r="L42" s="2" t="s">
        <v>419</v>
      </c>
      <c r="M42" s="2" t="s">
        <v>420</v>
      </c>
      <c r="N42" s="2" t="s">
        <v>421</v>
      </c>
      <c r="O42" s="2" t="s">
        <v>422</v>
      </c>
      <c r="P42" s="2" t="s">
        <v>42</v>
      </c>
      <c r="Q42" s="2" t="n">
        <v>66</v>
      </c>
    </row>
    <row r="43" customFormat="false" ht="23.85" hidden="false" customHeight="false" outlineLevel="0" collapsed="false">
      <c r="A43" s="2" t="n">
        <v>42</v>
      </c>
      <c r="B43" s="2" t="s">
        <v>411</v>
      </c>
      <c r="C43" s="2" t="s">
        <v>18</v>
      </c>
      <c r="D43" s="2" t="n">
        <v>204</v>
      </c>
      <c r="E43" s="2" t="s">
        <v>423</v>
      </c>
      <c r="F43" s="2" t="s">
        <v>424</v>
      </c>
      <c r="G43" s="2" t="s">
        <v>425</v>
      </c>
      <c r="H43" s="2" t="s">
        <v>426</v>
      </c>
      <c r="I43" s="2" t="s">
        <v>427</v>
      </c>
      <c r="J43" s="2" t="s">
        <v>24</v>
      </c>
      <c r="K43" s="2" t="s">
        <v>195</v>
      </c>
      <c r="L43" s="2" t="s">
        <v>428</v>
      </c>
      <c r="M43" s="2" t="s">
        <v>429</v>
      </c>
      <c r="N43" s="2" t="s">
        <v>430</v>
      </c>
      <c r="O43" s="2" t="s">
        <v>278</v>
      </c>
      <c r="P43" s="2" t="s">
        <v>42</v>
      </c>
      <c r="Q43" s="2" t="n">
        <v>66</v>
      </c>
    </row>
    <row r="44" customFormat="false" ht="23.85" hidden="false" customHeight="false" outlineLevel="0" collapsed="false">
      <c r="A44" s="2" t="n">
        <v>43</v>
      </c>
      <c r="B44" s="2" t="s">
        <v>411</v>
      </c>
      <c r="C44" s="2" t="s">
        <v>18</v>
      </c>
      <c r="D44" s="2" t="n">
        <v>263</v>
      </c>
      <c r="E44" s="2" t="s">
        <v>431</v>
      </c>
      <c r="F44" s="2" t="s">
        <v>432</v>
      </c>
      <c r="G44" s="2" t="s">
        <v>433</v>
      </c>
      <c r="H44" s="2" t="s">
        <v>434</v>
      </c>
      <c r="I44" s="2" t="s">
        <v>435</v>
      </c>
      <c r="J44" s="2" t="s">
        <v>185</v>
      </c>
      <c r="K44" s="2" t="s">
        <v>195</v>
      </c>
      <c r="L44" s="2" t="s">
        <v>436</v>
      </c>
      <c r="M44" s="2" t="s">
        <v>437</v>
      </c>
      <c r="N44" s="2"/>
      <c r="O44" s="2" t="s">
        <v>438</v>
      </c>
      <c r="P44" s="2" t="s">
        <v>42</v>
      </c>
      <c r="Q44" s="2" t="n">
        <v>65</v>
      </c>
    </row>
    <row r="45" customFormat="false" ht="23.85" hidden="false" customHeight="false" outlineLevel="0" collapsed="false">
      <c r="A45" s="2" t="n">
        <v>44</v>
      </c>
      <c r="B45" s="2" t="s">
        <v>411</v>
      </c>
      <c r="C45" s="2" t="s">
        <v>18</v>
      </c>
      <c r="D45" s="2" t="n">
        <v>250</v>
      </c>
      <c r="E45" s="2" t="s">
        <v>439</v>
      </c>
      <c r="F45" s="2" t="s">
        <v>440</v>
      </c>
      <c r="G45" s="2" t="s">
        <v>441</v>
      </c>
      <c r="H45" s="2" t="s">
        <v>195</v>
      </c>
      <c r="I45" s="2" t="s">
        <v>442</v>
      </c>
      <c r="J45" s="2" t="s">
        <v>443</v>
      </c>
      <c r="K45" s="2" t="s">
        <v>195</v>
      </c>
      <c r="L45" s="2" t="s">
        <v>444</v>
      </c>
      <c r="M45" s="2" t="s">
        <v>445</v>
      </c>
      <c r="N45" s="2" t="s">
        <v>446</v>
      </c>
      <c r="O45" s="2" t="s">
        <v>447</v>
      </c>
      <c r="P45" s="2"/>
      <c r="Q45" s="2" t="n">
        <v>64</v>
      </c>
    </row>
    <row r="46" customFormat="false" ht="35.05" hidden="false" customHeight="false" outlineLevel="0" collapsed="false">
      <c r="A46" s="2" t="n">
        <v>45</v>
      </c>
      <c r="B46" s="2" t="s">
        <v>411</v>
      </c>
      <c r="C46" s="2" t="s">
        <v>18</v>
      </c>
      <c r="D46" s="2" t="n">
        <v>2451</v>
      </c>
      <c r="E46" s="2" t="s">
        <v>448</v>
      </c>
      <c r="F46" s="2" t="s">
        <v>449</v>
      </c>
      <c r="G46" s="2" t="s">
        <v>441</v>
      </c>
      <c r="H46" s="2" t="s">
        <v>195</v>
      </c>
      <c r="I46" s="2" t="s">
        <v>450</v>
      </c>
      <c r="J46" s="2" t="s">
        <v>165</v>
      </c>
      <c r="K46" s="2" t="s">
        <v>195</v>
      </c>
      <c r="L46" s="2" t="s">
        <v>451</v>
      </c>
      <c r="M46" s="2" t="s">
        <v>452</v>
      </c>
      <c r="N46" s="2" t="s">
        <v>446</v>
      </c>
      <c r="O46" s="2" t="s">
        <v>453</v>
      </c>
      <c r="P46" s="2"/>
      <c r="Q46" s="2" t="n">
        <v>63</v>
      </c>
    </row>
    <row r="48" customFormat="false" ht="15" hidden="false" customHeight="false" outlineLevel="0" collapsed="false">
      <c r="E48" s="3" t="s">
        <v>454</v>
      </c>
      <c r="F48" s="4" t="n">
        <f aca="false">COUNTA(A2:A46)</f>
        <v>45</v>
      </c>
    </row>
    <row r="49" customFormat="false" ht="15" hidden="false" customHeight="false" outlineLevel="0" collapsed="false">
      <c r="E49" s="3" t="s">
        <v>455</v>
      </c>
      <c r="F49" s="0" t="str">
        <f aca="false">COUNTIF(B2:B46,"A")&amp;" / "&amp;COUNTIF(B2:B46,"B")&amp;" / "&amp;COUNTIF(B2:B46,"C")</f>
        <v>13 / 27 / 5</v>
      </c>
    </row>
    <row r="50" customFormat="false" ht="15" hidden="false" customHeight="false" outlineLevel="0" collapsed="false">
      <c r="E50" s="3" t="s">
        <v>456</v>
      </c>
      <c r="F50" s="0" t="str">
        <f aca="false">COUNTIF(C2:C46,"قاعدة الخرّيجين")&amp;" / "&amp;COUNTIF(C2:C46,"خارجي (لينكدإن)")</f>
        <v>36 / 9</v>
      </c>
    </row>
    <row r="51" customFormat="false" ht="15" hidden="false" customHeight="false" outlineLevel="0" collapsed="false">
      <c r="E51" s="3" t="s">
        <v>457</v>
      </c>
      <c r="F51" s="4" t="n">
        <f aca="false">COUNTIF(P2:P46,"🆕")</f>
        <v>21</v>
      </c>
    </row>
    <row r="52" customFormat="false" ht="15" hidden="false" customHeight="false" outlineLevel="0" collapsed="false">
      <c r="E52" s="3" t="s">
        <v>458</v>
      </c>
      <c r="F52" s="4" t="n">
        <f aca="false">ROUND(AVERAGE(Q2:Q46),1)</f>
        <v>79.5</v>
      </c>
    </row>
    <row r="54" customFormat="false" ht="15" hidden="false" customHeight="false" outlineLevel="0" collapsed="false">
      <c r="E54" s="5" t="s">
        <v>459</v>
      </c>
    </row>
  </sheetData>
  <autoFilter ref="A1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460</v>
      </c>
      <c r="D1" s="1" t="s">
        <v>461</v>
      </c>
      <c r="E1" s="1" t="s">
        <v>462</v>
      </c>
    </row>
    <row r="2" customFormat="false" ht="15" hidden="false" customHeight="false" outlineLevel="0" collapsed="false">
      <c r="A2" s="2" t="n">
        <v>2</v>
      </c>
      <c r="B2" s="2" t="s">
        <v>30</v>
      </c>
      <c r="C2" s="2" t="s">
        <v>31</v>
      </c>
      <c r="D2" s="2" t="s">
        <v>40</v>
      </c>
      <c r="E2" s="2" t="s">
        <v>41</v>
      </c>
    </row>
    <row r="3" customFormat="false" ht="15" hidden="false" customHeight="false" outlineLevel="0" collapsed="false">
      <c r="A3" s="2" t="n">
        <v>4</v>
      </c>
      <c r="B3" s="2" t="n">
        <v>323</v>
      </c>
      <c r="C3" s="2" t="s">
        <v>52</v>
      </c>
      <c r="D3" s="2" t="s">
        <v>61</v>
      </c>
      <c r="E3" s="2" t="s">
        <v>62</v>
      </c>
    </row>
    <row r="4" customFormat="false" ht="15" hidden="false" customHeight="false" outlineLevel="0" collapsed="false">
      <c r="A4" s="2" t="n">
        <v>6</v>
      </c>
      <c r="B4" s="2" t="n">
        <v>333</v>
      </c>
      <c r="C4" s="2" t="s">
        <v>72</v>
      </c>
      <c r="D4" s="2" t="s">
        <v>81</v>
      </c>
      <c r="E4" s="2" t="s">
        <v>82</v>
      </c>
    </row>
    <row r="5" customFormat="false" ht="15" hidden="false" customHeight="false" outlineLevel="0" collapsed="false">
      <c r="A5" s="2" t="n">
        <v>7</v>
      </c>
      <c r="B5" s="2" t="s">
        <v>83</v>
      </c>
      <c r="C5" s="2" t="s">
        <v>84</v>
      </c>
      <c r="D5" s="2" t="s">
        <v>92</v>
      </c>
      <c r="E5" s="2" t="s">
        <v>41</v>
      </c>
    </row>
    <row r="6" customFormat="false" ht="15" hidden="false" customHeight="false" outlineLevel="0" collapsed="false">
      <c r="A6" s="2" t="n">
        <v>8</v>
      </c>
      <c r="B6" s="2" t="n">
        <v>290</v>
      </c>
      <c r="C6" s="2" t="s">
        <v>93</v>
      </c>
      <c r="D6" s="2" t="s">
        <v>101</v>
      </c>
      <c r="E6" s="2" t="s">
        <v>102</v>
      </c>
    </row>
    <row r="7" customFormat="false" ht="23.85" hidden="false" customHeight="false" outlineLevel="0" collapsed="false">
      <c r="A7" s="2" t="n">
        <v>9</v>
      </c>
      <c r="B7" s="2" t="n">
        <v>12</v>
      </c>
      <c r="C7" s="2" t="s">
        <v>103</v>
      </c>
      <c r="D7" s="2" t="s">
        <v>111</v>
      </c>
      <c r="E7" s="2" t="s">
        <v>112</v>
      </c>
    </row>
    <row r="8" customFormat="false" ht="15" hidden="false" customHeight="false" outlineLevel="0" collapsed="false">
      <c r="A8" s="2" t="n">
        <v>13</v>
      </c>
      <c r="B8" s="2" t="n">
        <v>218</v>
      </c>
      <c r="C8" s="2" t="s">
        <v>137</v>
      </c>
      <c r="D8" s="2" t="s">
        <v>146</v>
      </c>
      <c r="E8" s="2" t="s">
        <v>147</v>
      </c>
    </row>
    <row r="9" customFormat="false" ht="15" hidden="false" customHeight="false" outlineLevel="0" collapsed="false">
      <c r="A9" s="2" t="n">
        <v>14</v>
      </c>
      <c r="B9" s="2" t="s">
        <v>149</v>
      </c>
      <c r="C9" s="2" t="s">
        <v>150</v>
      </c>
      <c r="D9" s="2" t="s">
        <v>159</v>
      </c>
      <c r="E9" s="2" t="s">
        <v>41</v>
      </c>
    </row>
    <row r="10" customFormat="false" ht="23.85" hidden="false" customHeight="false" outlineLevel="0" collapsed="false">
      <c r="A10" s="2" t="n">
        <v>15</v>
      </c>
      <c r="B10" s="2" t="n">
        <v>408</v>
      </c>
      <c r="C10" s="2" t="s">
        <v>160</v>
      </c>
      <c r="D10" s="2" t="s">
        <v>169</v>
      </c>
      <c r="E10" s="2" t="s">
        <v>170</v>
      </c>
    </row>
    <row r="11" customFormat="false" ht="15" hidden="false" customHeight="false" outlineLevel="0" collapsed="false">
      <c r="A11" s="2" t="n">
        <v>20</v>
      </c>
      <c r="B11" s="2" t="s">
        <v>208</v>
      </c>
      <c r="C11" s="2" t="s">
        <v>209</v>
      </c>
      <c r="D11" s="2" t="s">
        <v>218</v>
      </c>
      <c r="E11" s="2" t="s">
        <v>41</v>
      </c>
    </row>
    <row r="12" customFormat="false" ht="15" hidden="false" customHeight="false" outlineLevel="0" collapsed="false">
      <c r="A12" s="2" t="n">
        <v>21</v>
      </c>
      <c r="B12" s="2" t="s">
        <v>219</v>
      </c>
      <c r="C12" s="2" t="s">
        <v>220</v>
      </c>
      <c r="D12" s="2" t="s">
        <v>229</v>
      </c>
      <c r="E12" s="2" t="s">
        <v>41</v>
      </c>
    </row>
    <row r="13" customFormat="false" ht="15" hidden="false" customHeight="false" outlineLevel="0" collapsed="false">
      <c r="A13" s="2" t="n">
        <v>22</v>
      </c>
      <c r="B13" s="2" t="n">
        <v>326</v>
      </c>
      <c r="C13" s="2" t="s">
        <v>230</v>
      </c>
      <c r="D13" s="2" t="s">
        <v>236</v>
      </c>
      <c r="E13" s="2" t="s">
        <v>237</v>
      </c>
    </row>
    <row r="14" customFormat="false" ht="15" hidden="false" customHeight="false" outlineLevel="0" collapsed="false">
      <c r="A14" s="2" t="n">
        <v>23</v>
      </c>
      <c r="B14" s="2" t="n">
        <v>2549</v>
      </c>
      <c r="C14" s="2" t="s">
        <v>238</v>
      </c>
      <c r="D14" s="2" t="s">
        <v>246</v>
      </c>
      <c r="E14" s="2" t="s">
        <v>247</v>
      </c>
    </row>
    <row r="15" customFormat="false" ht="15" hidden="false" customHeight="false" outlineLevel="0" collapsed="false">
      <c r="A15" s="2" t="n">
        <v>24</v>
      </c>
      <c r="B15" s="2" t="n">
        <v>219</v>
      </c>
      <c r="C15" s="2" t="s">
        <v>248</v>
      </c>
      <c r="D15" s="2" t="s">
        <v>255</v>
      </c>
      <c r="E15" s="2" t="s">
        <v>256</v>
      </c>
    </row>
    <row r="16" customFormat="false" ht="15" hidden="false" customHeight="false" outlineLevel="0" collapsed="false">
      <c r="A16" s="2" t="n">
        <v>25</v>
      </c>
      <c r="B16" s="2" t="n">
        <v>325</v>
      </c>
      <c r="C16" s="2" t="s">
        <v>257</v>
      </c>
      <c r="D16" s="2" t="s">
        <v>266</v>
      </c>
      <c r="E16" s="2" t="s">
        <v>267</v>
      </c>
    </row>
    <row r="17" customFormat="false" ht="15" hidden="false" customHeight="false" outlineLevel="0" collapsed="false">
      <c r="A17" s="2" t="n">
        <v>26</v>
      </c>
      <c r="B17" s="2" t="n">
        <v>15</v>
      </c>
      <c r="C17" s="2" t="s">
        <v>268</v>
      </c>
      <c r="D17" s="2" t="s">
        <v>277</v>
      </c>
      <c r="E17" s="2" t="s">
        <v>278</v>
      </c>
    </row>
    <row r="18" customFormat="false" ht="15" hidden="false" customHeight="false" outlineLevel="0" collapsed="false">
      <c r="A18" s="2" t="n">
        <v>27</v>
      </c>
      <c r="B18" s="2" t="n">
        <v>75</v>
      </c>
      <c r="C18" s="2" t="s">
        <v>279</v>
      </c>
      <c r="D18" s="2" t="s">
        <v>287</v>
      </c>
      <c r="E18" s="2" t="s">
        <v>288</v>
      </c>
    </row>
    <row r="19" customFormat="false" ht="15" hidden="false" customHeight="false" outlineLevel="0" collapsed="false">
      <c r="A19" s="2" t="n">
        <v>29</v>
      </c>
      <c r="B19" s="2" t="n">
        <v>2273</v>
      </c>
      <c r="C19" s="2" t="s">
        <v>297</v>
      </c>
      <c r="D19" s="2" t="s">
        <v>304</v>
      </c>
      <c r="E19" s="2" t="s">
        <v>305</v>
      </c>
    </row>
    <row r="20" customFormat="false" ht="15" hidden="false" customHeight="false" outlineLevel="0" collapsed="false">
      <c r="A20" s="2" t="n">
        <v>30</v>
      </c>
      <c r="B20" s="2" t="n">
        <v>314</v>
      </c>
      <c r="C20" s="2" t="s">
        <v>306</v>
      </c>
      <c r="D20" s="2" t="s">
        <v>312</v>
      </c>
      <c r="E20" s="2" t="s">
        <v>313</v>
      </c>
    </row>
    <row r="21" customFormat="false" ht="23.85" hidden="false" customHeight="false" outlineLevel="0" collapsed="false">
      <c r="A21" s="2" t="n">
        <v>31</v>
      </c>
      <c r="B21" s="2" t="n">
        <v>384</v>
      </c>
      <c r="C21" s="2" t="s">
        <v>314</v>
      </c>
      <c r="D21" s="2" t="s">
        <v>323</v>
      </c>
      <c r="E21" s="2" t="s">
        <v>324</v>
      </c>
    </row>
    <row r="22" customFormat="false" ht="15" hidden="false" customHeight="false" outlineLevel="0" collapsed="false">
      <c r="A22" s="2" t="n">
        <v>32</v>
      </c>
      <c r="B22" s="2" t="s">
        <v>325</v>
      </c>
      <c r="C22" s="2" t="s">
        <v>326</v>
      </c>
      <c r="D22" s="2" t="s">
        <v>335</v>
      </c>
      <c r="E22" s="2" t="s">
        <v>41</v>
      </c>
    </row>
    <row r="23" customFormat="false" ht="15" hidden="false" customHeight="false" outlineLevel="0" collapsed="false">
      <c r="A23" s="2" t="n">
        <v>33</v>
      </c>
      <c r="B23" s="2" t="s">
        <v>336</v>
      </c>
      <c r="C23" s="2" t="s">
        <v>337</v>
      </c>
      <c r="D23" s="2" t="s">
        <v>346</v>
      </c>
      <c r="E23" s="2" t="s">
        <v>347</v>
      </c>
    </row>
    <row r="24" customFormat="false" ht="15" hidden="false" customHeight="false" outlineLevel="0" collapsed="false">
      <c r="A24" s="2" t="n">
        <v>34</v>
      </c>
      <c r="B24" s="2" t="n">
        <v>90</v>
      </c>
      <c r="C24" s="2" t="s">
        <v>348</v>
      </c>
      <c r="D24" s="2" t="s">
        <v>354</v>
      </c>
      <c r="E24" s="2" t="s">
        <v>355</v>
      </c>
    </row>
    <row r="25" customFormat="false" ht="15" hidden="false" customHeight="false" outlineLevel="0" collapsed="false">
      <c r="A25" s="2" t="n">
        <v>37</v>
      </c>
      <c r="B25" s="2" t="s">
        <v>371</v>
      </c>
      <c r="C25" s="2" t="s">
        <v>372</v>
      </c>
      <c r="D25" s="2" t="s">
        <v>381</v>
      </c>
      <c r="E25" s="2" t="s">
        <v>41</v>
      </c>
    </row>
    <row r="26" customFormat="false" ht="15" hidden="false" customHeight="false" outlineLevel="0" collapsed="false">
      <c r="A26" s="2" t="n">
        <v>38</v>
      </c>
      <c r="B26" s="2" t="n">
        <v>2435</v>
      </c>
      <c r="C26" s="2" t="s">
        <v>382</v>
      </c>
      <c r="D26" s="2" t="s">
        <v>390</v>
      </c>
      <c r="E26" s="2" t="s">
        <v>278</v>
      </c>
    </row>
    <row r="27" customFormat="false" ht="15" hidden="false" customHeight="false" outlineLevel="0" collapsed="false">
      <c r="A27" s="2" t="n">
        <v>39</v>
      </c>
      <c r="B27" s="2" t="n">
        <v>300</v>
      </c>
      <c r="C27" s="2" t="s">
        <v>391</v>
      </c>
      <c r="D27" s="2" t="s">
        <v>399</v>
      </c>
      <c r="E27" s="2" t="s">
        <v>400</v>
      </c>
    </row>
    <row r="28" customFormat="false" ht="15" hidden="false" customHeight="false" outlineLevel="0" collapsed="false">
      <c r="A28" s="2" t="n">
        <v>40</v>
      </c>
      <c r="B28" s="2" t="n">
        <v>331</v>
      </c>
      <c r="C28" s="2" t="s">
        <v>401</v>
      </c>
      <c r="D28" s="2" t="s">
        <v>409</v>
      </c>
      <c r="E28" s="2" t="s">
        <v>410</v>
      </c>
    </row>
    <row r="29" customFormat="false" ht="15" hidden="false" customHeight="false" outlineLevel="0" collapsed="false">
      <c r="A29" s="2" t="n">
        <v>41</v>
      </c>
      <c r="B29" s="2" t="n">
        <v>122</v>
      </c>
      <c r="C29" s="2" t="s">
        <v>412</v>
      </c>
      <c r="D29" s="2" t="s">
        <v>421</v>
      </c>
      <c r="E29" s="2" t="s">
        <v>422</v>
      </c>
    </row>
    <row r="30" customFormat="false" ht="15" hidden="false" customHeight="false" outlineLevel="0" collapsed="false">
      <c r="A30" s="2" t="n">
        <v>42</v>
      </c>
      <c r="B30" s="2" t="n">
        <v>204</v>
      </c>
      <c r="C30" s="2" t="s">
        <v>423</v>
      </c>
      <c r="D30" s="2" t="s">
        <v>430</v>
      </c>
      <c r="E30" s="2" t="s">
        <v>278</v>
      </c>
    </row>
    <row r="31" customFormat="false" ht="15" hidden="false" customHeight="false" outlineLevel="0" collapsed="false">
      <c r="A31" s="2" t="n">
        <v>44</v>
      </c>
      <c r="B31" s="2" t="n">
        <v>250</v>
      </c>
      <c r="C31" s="2" t="s">
        <v>439</v>
      </c>
      <c r="D31" s="2" t="s">
        <v>446</v>
      </c>
      <c r="E31" s="2" t="s">
        <v>447</v>
      </c>
    </row>
    <row r="32" customFormat="false" ht="15" hidden="false" customHeight="false" outlineLevel="0" collapsed="false">
      <c r="A32" s="2" t="n">
        <v>45</v>
      </c>
      <c r="B32" s="2" t="n">
        <v>2451</v>
      </c>
      <c r="C32" s="2" t="s">
        <v>448</v>
      </c>
      <c r="D32" s="2" t="s">
        <v>446</v>
      </c>
      <c r="E32" s="2" t="s">
        <v>453</v>
      </c>
    </row>
    <row r="33" customFormat="false" ht="23.85" hidden="false" customHeight="false" outlineLevel="0" collapsed="false">
      <c r="A33" s="2" t="s">
        <v>195</v>
      </c>
      <c r="B33" s="2" t="s">
        <v>463</v>
      </c>
      <c r="C33" s="2" t="s">
        <v>464</v>
      </c>
      <c r="D33" s="2" t="s">
        <v>465</v>
      </c>
      <c r="E33" s="2" t="s">
        <v>466</v>
      </c>
    </row>
    <row r="34" customFormat="false" ht="23.85" hidden="false" customHeight="false" outlineLevel="0" collapsed="false">
      <c r="A34" s="2" t="s">
        <v>195</v>
      </c>
      <c r="B34" s="2" t="n">
        <v>10</v>
      </c>
      <c r="C34" s="2" t="s">
        <v>467</v>
      </c>
      <c r="D34" s="2" t="s">
        <v>468</v>
      </c>
      <c r="E34" s="2" t="s">
        <v>469</v>
      </c>
    </row>
    <row r="35" customFormat="false" ht="15" hidden="false" customHeight="false" outlineLevel="0" collapsed="false">
      <c r="A35" s="2" t="s">
        <v>195</v>
      </c>
      <c r="B35" s="2" t="n">
        <v>212</v>
      </c>
      <c r="C35" s="2" t="s">
        <v>470</v>
      </c>
      <c r="D35" s="2" t="s">
        <v>471</v>
      </c>
      <c r="E35" s="2" t="s">
        <v>466</v>
      </c>
    </row>
    <row r="36" customFormat="false" ht="15" hidden="false" customHeight="false" outlineLevel="0" collapsed="false">
      <c r="A36" s="2" t="s">
        <v>195</v>
      </c>
      <c r="B36" s="2" t="n">
        <v>321</v>
      </c>
      <c r="C36" s="2" t="s">
        <v>472</v>
      </c>
      <c r="D36" s="2" t="s">
        <v>473</v>
      </c>
      <c r="E36" s="2" t="s">
        <v>474</v>
      </c>
    </row>
    <row r="37" customFormat="false" ht="23.85" hidden="false" customHeight="false" outlineLevel="0" collapsed="false">
      <c r="A37" s="2" t="s">
        <v>195</v>
      </c>
      <c r="B37" s="2" t="s">
        <v>195</v>
      </c>
      <c r="C37" s="2" t="s">
        <v>475</v>
      </c>
      <c r="D37" s="2" t="s">
        <v>476</v>
      </c>
      <c r="E37" s="2" t="s">
        <v>477</v>
      </c>
    </row>
    <row r="38" customFormat="false" ht="15" hidden="false" customHeight="false" outlineLevel="0" collapsed="false">
      <c r="A38" s="2" t="s">
        <v>195</v>
      </c>
      <c r="B38" s="2" t="n">
        <v>2286</v>
      </c>
      <c r="C38" s="2" t="s">
        <v>478</v>
      </c>
      <c r="D38" s="2" t="s">
        <v>479</v>
      </c>
      <c r="E38" s="2" t="s">
        <v>466</v>
      </c>
    </row>
  </sheetData>
  <autoFilter ref="A1:E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1" t="s">
        <v>480</v>
      </c>
      <c r="B1" s="1" t="s">
        <v>481</v>
      </c>
      <c r="C1" s="1" t="s">
        <v>482</v>
      </c>
    </row>
    <row r="2" customFormat="false" ht="23.85" hidden="false" customHeight="false" outlineLevel="0" collapsed="false">
      <c r="A2" s="2" t="s">
        <v>483</v>
      </c>
      <c r="B2" s="2" t="s">
        <v>484</v>
      </c>
      <c r="C2" s="2" t="s">
        <v>485</v>
      </c>
    </row>
    <row r="3" customFormat="false" ht="23.85" hidden="false" customHeight="false" outlineLevel="0" collapsed="false">
      <c r="A3" s="2" t="s">
        <v>225</v>
      </c>
      <c r="B3" s="2" t="s">
        <v>486</v>
      </c>
      <c r="C3" s="2" t="s">
        <v>487</v>
      </c>
    </row>
    <row r="4" customFormat="false" ht="15" hidden="false" customHeight="false" outlineLevel="0" collapsed="false">
      <c r="A4" s="2" t="s">
        <v>377</v>
      </c>
      <c r="B4" s="2" t="s">
        <v>488</v>
      </c>
      <c r="C4" s="2" t="s">
        <v>489</v>
      </c>
    </row>
    <row r="5" customFormat="false" ht="23.85" hidden="false" customHeight="false" outlineLevel="0" collapsed="false">
      <c r="A5" s="2" t="s">
        <v>490</v>
      </c>
      <c r="B5" s="2" t="s">
        <v>491</v>
      </c>
      <c r="C5" s="2" t="s">
        <v>492</v>
      </c>
    </row>
    <row r="6" customFormat="false" ht="23.85" hidden="false" customHeight="false" outlineLevel="0" collapsed="false">
      <c r="A6" s="2" t="s">
        <v>493</v>
      </c>
      <c r="B6" s="2" t="s">
        <v>494</v>
      </c>
      <c r="C6" s="2" t="s">
        <v>495</v>
      </c>
    </row>
    <row r="7" customFormat="false" ht="15" hidden="false" customHeight="false" outlineLevel="0" collapsed="false">
      <c r="A7" s="2" t="s">
        <v>496</v>
      </c>
      <c r="B7" s="2" t="s">
        <v>497</v>
      </c>
      <c r="C7" s="2" t="s">
        <v>498</v>
      </c>
    </row>
    <row r="8" customFormat="false" ht="15" hidden="false" customHeight="false" outlineLevel="0" collapsed="false">
      <c r="A8" s="2" t="s">
        <v>499</v>
      </c>
      <c r="B8" s="2" t="s">
        <v>500</v>
      </c>
      <c r="C8" s="2" t="s">
        <v>501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2026-09-17T07:30:12Z</dcterms:created>
  <dc:creator>openpyxl</dc:creator>
  <dc:description/>
  <dc:language>en-US</dc:language>
  <cp:lastModifiedBy/>
  <dcterms:modified xsi:type="dcterms:W3CDTF">2026-09-17T07:30:12Z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