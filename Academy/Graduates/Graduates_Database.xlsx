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البيانات'!$A$1:$W$2652</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652"/>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n"/>
      <c r="P2" s="17" t="inlineStr">
        <is>
          <t>https://github.com/Duwaysan · https://github.com/NasserAlsaqer/Detect-Violated-Motorbikes-Delivery-RASYD</t>
        </is>
      </c>
      <c r="Q2" s="17" t="n"/>
      <c r="R2" s="17" t="n"/>
      <c r="S2" s="17" t="n"/>
      <c r="T2" s="17" t="inlineStr">
        <is>
          <t>https://duwaysan.github.io/portfolio/</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V2" s="17" t="n"/>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29" t="inlineStr">
        <is>
          <t>مهندس ذكاء اصطناعي — AI Engineer</t>
        </is>
      </c>
      <c r="F4" s="17" t="inlineStr">
        <is>
          <t>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V4" s="17" t="n"/>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t>
        </is>
      </c>
      <c r="Q13" s="17" t="n"/>
      <c r="R13" s="17" t="n"/>
      <c r="S13" s="17" t="n"/>
      <c r="T13" s="17" t="inlineStr">
        <is>
          <t>https://www.zoominfo.com/p/Nasser-Alsaqer/15765859823</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V13" s="17" t="n"/>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https://rocketreach.co/saad-alzahrani-email_801104584</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https://rocketreach.co/reem-albalawi-email_506449863</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72</v>
      </c>
      <c r="M20" s="17" t="inlineStr">
        <is>
          <t>ضمن النطاق</t>
        </is>
      </c>
      <c r="N20" s="17" t="inlineStr">
        <is>
          <t>مشروع · شهادات</t>
        </is>
      </c>
      <c r="O20" s="17" t="inlineStr">
        <is>
          <t>https://www.linkedin.com/in/dana-almestadi/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V20" s="17" t="n"/>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72</v>
      </c>
      <c r="M30" s="17" t="inlineStr">
        <is>
          <t>ضمن النطاق</t>
        </is>
      </c>
      <c r="N30" s="17" t="inlineStr">
        <is>
          <t>توظيف</t>
        </is>
      </c>
      <c r="O30" s="17" t="inlineStr">
        <is>
          <t>https://ae.linkedin.com/posts/saleh-altuwaijri_grateful-to-join-t5-bootcamp-by-sdaia-academy-activity-7220784109793509376-bJch</t>
        </is>
      </c>
      <c r="P30" s="17" t="n"/>
      <c r="Q30" s="17" t="n"/>
      <c r="R30" s="17" t="n"/>
      <c r="S30" s="17" t="n"/>
      <c r="T30" s="17" t="n"/>
      <c r="U30" s="17" t="inlineStr">
        <is>
          <t>الالتحاق بالبرنامج مؤكد بمنشوره الذاتي؛ لا نتيجة توظيف ظاهرة بعد.</t>
        </is>
      </c>
      <c r="V30" s="17" t="n"/>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60</v>
      </c>
      <c r="M36" s="17" t="inlineStr">
        <is>
          <t>ضمن النطاق</t>
        </is>
      </c>
      <c r="N36" s="17" t="inlineStr">
        <is>
          <t>مشروع</t>
        </is>
      </c>
      <c r="O36" s="17" t="inlineStr">
        <is>
          <t>https://sa.linkedin.com/in/7iz7</t>
        </is>
      </c>
      <c r="P36" s="17" t="inlineStr">
        <is>
          <t>https://github.com/7iz7</t>
        </is>
      </c>
      <c r="Q36" s="17" t="n"/>
      <c r="R36" s="17" t="n"/>
      <c r="S36" s="17" t="n"/>
      <c r="T36" s="17" t="n"/>
      <c r="U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V36" s="17" t="n"/>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29" t="inlineStr">
        <is>
          <t>عالم بيانات — Data Scientist</t>
        </is>
      </c>
      <c r="F44" s="17" t="inlineStr">
        <is>
          <t>2025</t>
        </is>
      </c>
      <c r="G44" s="17" t="inlineStr">
        <is>
          <t>أكاديمية كاوست KAUST Academy</t>
        </is>
      </c>
      <c r="H44" s="17" t="inlineStr">
        <is>
          <t>مساعد تدريس ذكاء اصطناعي (2025)</t>
        </is>
      </c>
      <c r="I44" s="17" t="n"/>
      <c r="J44" s="17" t="n"/>
      <c r="K44" s="17" t="inlineStr">
        <is>
          <t>قصص داخلية</t>
        </is>
      </c>
      <c r="L44" s="17" t="n">
        <v>55</v>
      </c>
      <c r="M44" s="17" t="inlineStr">
        <is>
          <t>ضمن النطاق</t>
        </is>
      </c>
      <c r="N44" s="17" t="inlineStr">
        <is>
          <t>توظيف · شهادات · بحث</t>
        </is>
      </c>
      <c r="O44" s="17" t="n"/>
      <c r="P44" s="17" t="n"/>
      <c r="Q44" s="17" t="n"/>
      <c r="R44" s="17" t="n"/>
      <c r="S44" s="17" t="n"/>
      <c r="T44" s="17" t="n"/>
      <c r="U44" s="17" t="inlineStr">
        <is>
          <t>بكالوريوس ذكاء اصطناعي — جامعة الإمام عبدالرحمن بن فيصل (2024). 5 شهادات احترافية من Microsoft خلال المعسكر ثم مسار أكاديمي بحثي في كاوست.</t>
        </is>
      </c>
      <c r="V44" s="17" t="n"/>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n"/>
      <c r="P50" s="17" t="inlineStr">
        <is>
          <t>https://github.com/AhmedBashmmakh</t>
        </is>
      </c>
      <c r="Q50" s="17" t="n"/>
      <c r="R50" s="17" t="n"/>
      <c r="S50" s="17" t="n"/>
      <c r="T50" s="17" t="n"/>
      <c r="U50" s="17" t="inlineStr">
        <is>
          <t>مالك مستودع المشروع</t>
        </is>
      </c>
      <c r="V50" s="17" t="n"/>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n"/>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V66" s="17" t="n"/>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https://rocketreach.co/anas-aldadi-email_752615057</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شهادات</t>
        </is>
      </c>
      <c r="O70" s="17" t="inlineStr">
        <is>
          <t>https://www.linkedin.com/in/nawal-alqarni-446339209/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V70" s="17" t="n"/>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https://www.zoominfo.com/p/Ahmed-Alghaith/9596612896 · 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شهادات</t>
        </is>
      </c>
      <c r="O83" s="17" t="inlineStr">
        <is>
          <t>https://www.linkedin.com/in/raghad-alqobali/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https://www.zoominfo.com/p/Jana-Ghorab/10019294419</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n"/>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V109" s="17" t="n"/>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https://www.zoominfo.com/p/Wedyan-Naqeeb/15014757237</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https://www.zoominfo.com/p/Alaa-Alharthi/14504190999</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الملف الرسمي 2023</t>
        </is>
      </c>
      <c r="L142" s="17" t="n">
        <v>82</v>
      </c>
      <c r="M142" s="17" t="inlineStr">
        <is>
          <t>ضمن النطاق</t>
        </is>
      </c>
      <c r="N142" s="17" t="inlineStr">
        <is>
          <t>شهادات · توظيف · ناشئة</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https://www.zoominfo.com/p/Shaden-Al-mangour/12290738405</t>
        </is>
      </c>
      <c r="U165" s="17" t="inlineStr">
        <is>
          <t>مؤكدة بمصدرين علنيين (مجمّع بيانات + ترويسة مفهرسة «Data Scientist | Data Analyst | SQL») ومطابقة للملف الرسمي. تاريخ البدء غير مؤكد.</t>
        </is>
      </c>
      <c r="V165" s="17" t="n"/>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https://rocketreach.co/nada-alkhuraiji-email_729524544 · https://www.zoominfo.com/p/Nada-Alkhuraiji/8351248525</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https://rocketreach.co/rewaa-hummedi-email_717648824</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n"/>
      <c r="P172" s="17" t="n"/>
      <c r="Q172" s="17" t="n"/>
      <c r="R172" s="17" t="n"/>
      <c r="S172" s="17" t="n"/>
      <c r="T172" s="17" t="inlineStr">
        <is>
          <t>https://rocketreach.co/mahad-aljohani-email_798743902</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V172" s="17" t="n"/>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https://rocketreach.co/raad-sabbagh-email_692265497</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https://rocketreach.co/safa-almahdawi-email_766649467</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https://rocketreach.co/abdulrahman-almuqati-email_806760685</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https://rocketreach.co/basil-alaqeel-email_816256986</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https://rocketreach.co/yousef-al-lahyani-email_569760353</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https://rocketreach.co/alanoud-alqubaysi-email_265090110</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https://rocketreach.co/abdullatif-alsabr-email_396720642</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https://rocketreach.co/noura-alshahrani-email_764165837</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https://www.zoominfo.com/p/Hamad-Alyemni/8823269392</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https://www.zoominfo.com/p/Atheer-Alkthiri/10746826484</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https://www.zoominfo.com/p/Munirah-Alzhrani/13639496670</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n"/>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2021</t>
        </is>
      </c>
      <c r="G209" s="17" t="n"/>
      <c r="H209" s="17" t="inlineStr">
        <is>
          <t>متدربة</t>
        </is>
      </c>
      <c r="I209" s="17" t="n"/>
      <c r="J209" s="17" t="n"/>
      <c r="K209" s="17" t="inlineStr">
        <is>
          <t>المسح العلني الموسّع — أغسطس 2026</t>
        </is>
      </c>
      <c r="L209" s="17" t="n">
        <v>90</v>
      </c>
      <c r="M209" s="17" t="inlineStr">
        <is>
          <t>ضمن النطاق</t>
        </is>
      </c>
      <c r="N209" s="17" t="inlineStr">
        <is>
          <t>مشروع · برنامج</t>
        </is>
      </c>
      <c r="O209" s="17" t="n"/>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https://rocketreach.co/lubna-alqahtani-email_808508809</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https://rocketreach.co/fai-alsadlan-email_720036212</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https://rocketreach.co/hawra-alsedrah-email_814748948</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2023</t>
        </is>
      </c>
      <c r="G264" s="17" t="inlineStr">
        <is>
          <t>Saudi Aramco</t>
        </is>
      </c>
      <c r="H264" s="17" t="inlineStr">
        <is>
          <t>Data Analyst</t>
        </is>
      </c>
      <c r="I264" s="17" t="n"/>
      <c r="J264" s="17" t="n"/>
      <c r="K264" s="17" t="inlineStr">
        <is>
          <t>المسح العلني الموسّع — أغسطس 2026</t>
        </is>
      </c>
      <c r="L264" s="17" t="n">
        <v>85</v>
      </c>
      <c r="M264" s="17" t="inlineStr">
        <is>
          <t>ضمن النطاق</t>
        </is>
      </c>
      <c r="N264" s="17" t="inlineStr">
        <is>
          <t>توظيف · برنامج</t>
        </is>
      </c>
      <c r="O264" s="17" t="n"/>
      <c r="P264" s="17" t="n"/>
      <c r="Q264" s="17" t="n"/>
      <c r="R264" s="17" t="n"/>
      <c r="S264" s="17" t="n"/>
      <c r="T264" s="17" t="inlineStr">
        <is>
          <t>https://www.zoominfo.com/p/Safiyah-Alshammari/14286161253</t>
        </is>
      </c>
      <c r="U264" s="17" t="inlineStr">
        <is>
          <t>سجل مضاف في المسح العلني الموسّع (أغسطس 2026). التخصص: Data Science. الدليل: Work history: SDAIA T5 Data Science Bootcamp (2023); Data Analyst at Aramco 2024-present</t>
        </is>
      </c>
      <c r="V264" s="17" t="n"/>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https://www.zoominfo.com/p/Reem-Aljabri/11482951048</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https://www.zoominfo.com/p/Ritaj-Almutairi/10126814094</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https://www.zoominfo.com/p/Lujain-Alattas/11076622706</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n"/>
      <c r="P268" s="17" t="n"/>
      <c r="Q268" s="17" t="n"/>
      <c r="R268" s="17" t="n"/>
      <c r="S268" s="17" t="n"/>
      <c r="T268" s="17" t="inlineStr">
        <is>
          <t>https://www.zoominfo.com/p/Jawaher-Albaqami/13106752773</t>
        </is>
      </c>
      <c r="U268" s="17" t="inlineStr">
        <is>
          <t>سجل مضاف في المسح العلني الموسّع (أغسطس 2026). التخصص: Data Engineering. الدليل: Data Science and AI T5 Bootcamp Trainee at Sdaia (2023); Data Engineer at NCAI 2024-present</t>
        </is>
      </c>
      <c r="V268" s="17" t="n"/>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https://www.zoominfo.com/p/Thekra-Alqarni/15644564992</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https://www.zoominfo.com/p/Abdulmajeed-Alraddadi/15013131850</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https://www.zoominfo.com/p/Maisaa-Alhulimi/12775652792</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https://www.zoominfo.com/p/Randa-Alshehri/13761566090</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https://www.zoominfo.com/p/Meaad-Alotaibi/6886898422</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https://www.zoominfo.com/p/Muntaha-Alshehab/14501125521</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https://www.zoominfo.com/p/Rahaf-Saud/9361671414</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https://www.zoominfo.com/p/Ahmed-Kashif/10547362897</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https://www.zoominfo.com/p/Yazeed-Alshurify/13935923722</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https://rocketreach.co/abdulkarim-mahboob-email_844877572</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https://rocketreach.co/aliah-alotaibi-email_794100480</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n"/>
      <c r="P299" s="17" t="n"/>
      <c r="Q299" s="17" t="n"/>
      <c r="R299" s="17" t="n"/>
      <c r="S299" s="17" t="n"/>
      <c r="T299" s="17" t="inlineStr">
        <is>
          <t>https://www.zoominfo.com/p/Ghanim-Alghanim/8083776959</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V299" s="17" t="n"/>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https://www.zoominfo.com/p/Roaa-Alotaibi/10612476630</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https://www.zoominfo.com/p/Rami-Aljohani/15665657466</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https://www.zoominfo.com/p/Maha-Alhazzani/10622188029</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https://www.zoominfo.com/p/Mohammed-Al-sayyari/2199299218</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n"/>
      <c r="G334" s="17" t="n"/>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t>
        </is>
      </c>
      <c r="V334" s="17" t="n"/>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https://rocketreach.co/ali-almuhaysin-email_724017858</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https://www.zoominfo.com/p/Aziz-Alzubaidi/10437057571</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https://www.zoominfo.com/p/Ali-Alqadhiby/11482957836</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SDAIA (وقت المعسكر)</t>
        </is>
      </c>
      <c r="H343" s="17" t="inlineStr">
        <is>
          <t>T5 Bootcamp trainee</t>
        </is>
      </c>
      <c r="I343" s="17" t="n"/>
      <c r="J343" s="17" t="n"/>
      <c r="K343" s="17" t="inlineStr">
        <is>
          <t>المسح العلني الموسّع — أغسطس 2026</t>
        </is>
      </c>
      <c r="L343" s="17" t="n">
        <v>80</v>
      </c>
      <c r="M343" s="17" t="inlineStr">
        <is>
          <t>ضمن النطاق</t>
        </is>
      </c>
      <c r="N343" s="17" t="inlineStr">
        <is>
          <t>توظيف · برنامج</t>
        </is>
      </c>
      <c r="O343" s="17" t="n"/>
      <c r="P343" s="17" t="n"/>
      <c r="Q343" s="17" t="n"/>
      <c r="R343" s="17" t="n"/>
      <c r="S343" s="17" t="n"/>
      <c r="T343" s="17" t="inlineStr">
        <is>
          <t>https://www.zoominfo.com/p/May-Aljuaid/13839097276</t>
        </is>
      </c>
      <c r="U343" s="17" t="inlineStr">
        <is>
          <t>سجل مضاف في المسح العلني الموسّع (أغسطس 2026). التخصص: Data Science / AI. الدليل: Title: "T5 Data Science and AI Bootcamp at Sdaia", 2025-present; Bachelor's degree from Taif University</t>
        </is>
      </c>
      <c r="V343" s="17" t="n"/>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https://www.zoominfo.com/p/Basmah-Abdullah/11338401227</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https://www.zoominfo.com/p/Lina-Huwail/13511297726</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https://www.zoominfo.com/p/Mais-Aziz/12622150229</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https://www.zoominfo.com/p/Saad-Almunif/13868959767</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https://www.zoominfo.com/p/Amjad-Muidh/10124441261</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https://www.zoominfo.com/p/Naif-Alsulihem/7752908688</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https://www.zoominfo.com/p/Majd-Alotaibi/10321815317</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https://www.zoominfo.com/p/Mashael-Alsalhi/9038529347</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https://www.zoominfo.com/p/Yusef-Alamri/10622513560</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n"/>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V377" s="17" t="n"/>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https://www.zoominfo.com/p/Mansour-Abdullah/13218350458</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https://www.zoominfo.com/p/Ali-Aljumah/8552796124</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https://www.zoominfo.com/p/Ghayda-Almalki/13974095986</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https://www.zoominfo.com/p/Hadi-Atwah/10929493967</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https://www.zoominfo.com/p/Alanoud-Saleh/10929498514</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n"/>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n"/>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384" s="17" t="n"/>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29" t="inlineStr">
        <is>
          <t>برامج متخصصة أخرى — Other / Specialized</t>
        </is>
      </c>
      <c r="F395" s="17" t="n"/>
      <c r="G395" s="17" t="n"/>
      <c r="H395" s="17" t="n"/>
      <c r="I395" s="17" t="n"/>
      <c r="J395" s="17" t="n"/>
      <c r="K395" s="17" t="inlineStr">
        <is>
          <t>المسح العلني الموسّع — أغسطس 2026</t>
        </is>
      </c>
      <c r="L395" s="17" t="n">
        <v>70</v>
      </c>
      <c r="M395" s="17" t="inlineStr">
        <is>
          <t>ضمن النطاق</t>
        </is>
      </c>
      <c r="N395" s="17" t="inlineStr">
        <is>
          <t>مشروع · برنامج</t>
        </is>
      </c>
      <c r="O395" s="17" t="n"/>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https://www.zoominfo.com/p/Maad-Almubarak/10219089249</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https://www.zoominfo.com/p/Abdullah-Altamimi/10067602566</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n"/>
      <c r="G417" s="17" t="n"/>
      <c r="H417" s="17" t="inlineStr">
        <is>
          <t>خريج / Trainee</t>
        </is>
      </c>
      <c r="I417" s="17" t="n"/>
      <c r="J417" s="17" t="n"/>
      <c r="K417" s="17" t="inlineStr">
        <is>
          <t>المسح العلني الموسّع — أغسطس 2026</t>
        </is>
      </c>
      <c r="L417" s="17" t="n">
        <v>70</v>
      </c>
      <c r="M417" s="17" t="inlineStr">
        <is>
          <t>ضمن النطاق</t>
        </is>
      </c>
      <c r="N417" s="17" t="inlineStr">
        <is>
          <t>مشروع · برنامج</t>
        </is>
      </c>
      <c r="O417" s="17" t="n"/>
      <c r="P417" s="17" t="inlineStr">
        <is>
          <t>https://github.com/ManaSaleh/Data-Analysis-Project</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V417" s="17" t="n"/>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n"/>
      <c r="G421" s="17" t="n"/>
      <c r="H421" s="17" t="n"/>
      <c r="I421" s="17" t="n"/>
      <c r="J421" s="17" t="n"/>
      <c r="K421" s="17" t="inlineStr">
        <is>
          <t>المسح العلني الموسّع — أغسطس 2026</t>
        </is>
      </c>
      <c r="L421" s="17" t="n">
        <v>65</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V421" s="17" t="n"/>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https://www.zoominfo.com/p/Faris-Alshuaibi/8267103569</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n"/>
      <c r="P441" s="17" t="n"/>
      <c r="Q441" s="17" t="n"/>
      <c r="R441" s="17" t="n"/>
      <c r="S441" s="17" t="n"/>
      <c r="T441" s="17" t="inlineStr">
        <is>
          <t>https://rocketreach.co/hamad-almuhaythif-email_818021996 · https://www.spa.gov.sa/N2203387 · https://www.spa.gov.sa/N2244742</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V441" s="17" t="n"/>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https://rocketreach.co/hussain-al-yafei-email_871894108 · https://rocketreach.co/kaust-academy-management_b6a45046c8789140</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https://rocketreach.co/areej-alshammari-email_730884246</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https://rocketreach.co/saad-alabdulsalam-email_798775696</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https://www.zoominfo.com/p/Asmaa-Althakafi/8472347345</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https://rocketreach.co/maha-alshehri-email_731626614</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https://www.zoominfo.com/p/Mohammed-Osailan/13630702266</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https://rocketreach.co/abrar-alanazi-email_883650255</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https://www.zoominfo.com/p/Taef-Abdullah/10123812321</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غير محدد</t>
        </is>
      </c>
      <c r="I456" s="17" t="n"/>
      <c r="J456" s="17" t="n"/>
      <c r="K456" s="17" t="inlineStr">
        <is>
          <t>تقرير التوظيف المبكر 2021–2026</t>
        </is>
      </c>
      <c r="L456" s="17" t="n">
        <v>64</v>
      </c>
      <c r="M456" s="17" t="inlineStr">
        <is>
          <t>ضمن النطاق</t>
        </is>
      </c>
      <c r="N456" s="17" t="inlineStr">
        <is>
          <t>توظيف · مشروع</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V456" s="17" t="n"/>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https://rocketreach.co/nouf-sultan-email_730913681</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2021</t>
        </is>
      </c>
      <c r="G483" s="17" t="n"/>
      <c r="H483" s="17" t="n"/>
      <c r="I483" s="17" t="n"/>
      <c r="J483" s="17" t="n"/>
      <c r="K483" s="17" t="inlineStr">
        <is>
          <t>تقرير التوظيف المبكر 2021–2026</t>
        </is>
      </c>
      <c r="L483" s="17" t="n">
        <v>48</v>
      </c>
      <c r="M483" s="17" t="inlineStr">
        <is>
          <t>ضمن النطاق</t>
        </is>
      </c>
      <c r="N483" s="17" t="inlineStr">
        <is>
          <t>مشروع</t>
        </is>
      </c>
      <c r="O483" s="17" t="inlineStr">
        <is>
          <t>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https://rocketreach.co/ahmed-alnasser-email_884030874</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n"/>
      <c r="H511" s="17" t="n"/>
      <c r="I511" s="17" t="n"/>
      <c r="J511" s="17" t="n"/>
      <c r="K511" s="17" t="inlineStr">
        <is>
          <t>مسح GitHub يونيو–يوليو 2026</t>
        </is>
      </c>
      <c r="L511" s="17" t="n">
        <v>72</v>
      </c>
      <c r="M511" s="17" t="inlineStr">
        <is>
          <t>ضمن النطاق</t>
        </is>
      </c>
      <c r="N511" s="17" t="inlineStr">
        <is>
          <t>مشروع</t>
        </is>
      </c>
      <c r="O511" s="17" t="n"/>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n"/>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72</v>
      </c>
      <c r="M515" s="17" t="inlineStr">
        <is>
          <t>ضمن النطاق</t>
        </is>
      </c>
      <c r="N515" s="17" t="inlineStr">
        <is>
          <t>مشروع</t>
        </is>
      </c>
      <c r="O515" s="17" t="inlineStr">
        <is>
          <t>https://www.linkedin.com/in/sarah-abdulaziz-a87a88351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t>
        </is>
      </c>
      <c r="V515" s="17" t="n"/>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n"/>
      <c r="H543" s="17" t="n"/>
      <c r="I543" s="17" t="n"/>
      <c r="J543" s="17" t="n"/>
      <c r="K543" s="17" t="inlineStr">
        <is>
          <t>مسح GitHub يونيو–يوليو 2026</t>
        </is>
      </c>
      <c r="L543" s="17" t="n">
        <v>68</v>
      </c>
      <c r="M543" s="17" t="inlineStr">
        <is>
          <t>ضمن النطاق</t>
        </is>
      </c>
      <c r="N543" s="17" t="inlineStr">
        <is>
          <t>مشروع</t>
        </is>
      </c>
      <c r="O543" s="17" t="n"/>
      <c r="P543" s="17" t="inlineStr">
        <is>
          <t>https://github.com/ns3271585-arch/Modern-Data-Engineering-AI--capstone</t>
        </is>
      </c>
      <c r="Q543" s="17" t="n"/>
      <c r="R543" s="17" t="n"/>
      <c r="S543" s="17" t="n"/>
      <c r="T543" s="17" t="n"/>
      <c r="U543" s="17" t="inlineStr">
        <is>
          <t>مسماة في README مشروع توصيل الطعام (فريق ثلاثي).</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68</v>
      </c>
      <c r="M547" s="17" t="inlineStr">
        <is>
          <t>ضمن النطاق</t>
        </is>
      </c>
      <c r="N547" s="17" t="inlineStr">
        <is>
          <t>مشروع</t>
        </is>
      </c>
      <c r="O547" s="17" t="n"/>
      <c r="P547" s="17" t="inlineStr">
        <is>
          <t>https://github.com/Shatha-1/sdaia-vibe-coding</t>
        </is>
      </c>
      <c r="Q547" s="17" t="n"/>
      <c r="R547" s="17" t="n"/>
      <c r="S547" s="17" t="n"/>
      <c r="T547" s="17" t="n"/>
      <c r="U547" s="17" t="inlineStr">
        <is>
          <t>مسماة في README مستودع ورشة Vibe Coding (فريق رباعي).</t>
        </is>
      </c>
      <c r="V547" s="17" t="n"/>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29" t="inlineStr">
        <is>
          <t>عالم بيانات — Data Scientist</t>
        </is>
      </c>
      <c r="F575" s="17" t="inlineStr">
        <is>
          <t>الدفعة غير معروفة (~2021–2022)</t>
        </is>
      </c>
      <c r="G575" s="17" t="inlineStr">
        <is>
          <t>وزارة الصحة — مستشفى صحة الافتراضي</t>
        </is>
      </c>
      <c r="H575" s="17" t="inlineStr">
        <is>
          <t>رئيسة قطاع نمذجة الذكاء الاصطناعي</t>
        </is>
      </c>
      <c r="I575" s="17" t="n"/>
      <c r="J575" s="17" t="n"/>
      <c r="K575" s="17" t="inlineStr">
        <is>
          <t>قبل النطاق</t>
        </is>
      </c>
      <c r="L575" s="17" t="n">
        <v>60</v>
      </c>
      <c r="M575" s="17" t="inlineStr">
        <is>
          <t>قبل النطاق</t>
        </is>
      </c>
      <c r="N575" s="17" t="inlineStr">
        <is>
          <t>توظيف · مشروع · قيادة</t>
        </is>
      </c>
      <c r="O575" s="17" t="n"/>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الذكاء الاصطناعي التوليدي للتنظير الطبي (إشراف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 · جائزة</t>
        </is>
      </c>
      <c r="O577" s="17" t="n"/>
      <c r="P577" s="17" t="n"/>
      <c r="Q577" s="17" t="n"/>
      <c r="R577" s="17" t="n"/>
      <c r="S577" s="17" t="n"/>
      <c r="T577" s="17" t="inlineStr">
        <is>
          <t>https://eng.ox.ac.uk/people/rayan-albokhari/ · https://link.springer.com/chapter/10.1007/978-3-032-05472-2_31 · https://misk.org.sa/hcd-fellowship/fellow/rayan-albokhary/</t>
        </is>
      </c>
      <c r="U577" s="17" t="inlineStr">
        <is>
          <t>صفحتان رسميتان بأكسفورد تؤكدان الدور والمشروع؛ أول طالب بأكسفورد يحصل على جائزة Brendan Murphy؛ ورقة CtrlEndoDiff بورشة MICCAI.</t>
        </is>
      </c>
      <c r="V577" s="17" t="n"/>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https://scholar.google.com/citations?hl=en&amp;user=_EbqQNsAAAAJ</t>
        </is>
      </c>
      <c r="U583" s="17" t="inlineStr">
        <is>
          <t>صفحة رسمية على نطاق الجامعة (المعرّف يطابق هويتها المؤسسية)؛ أبحاث في تعلم الآلة وNLP لهندسة المتطلبات.</t>
        </is>
      </c>
      <c r="V583" s="17" t="n"/>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 مركز سدايا-KFUPM المشترك للذكاء الاصطناعي JRC-AI</t>
        </is>
      </c>
      <c r="H585" s="17" t="inlineStr">
        <is>
          <t>أستاذ مساعد وباحث بالمركز المشترك</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t>
        </is>
      </c>
      <c r="U585" s="17" t="inlineStr">
        <is>
          <t>صفحة KFUPM Pure وصفحة أعضاء مركز JRC-AI تؤكدان الدور بالبريد المؤسسي نفسه؛ أبحاث في إتاحة الوصول والذكاء الاصطناعي التوليدي في الصحة.</t>
        </is>
      </c>
      <c r="V585" s="17" t="n"/>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https://arxiv.org/abs/2111.03106 · https://www.researchgate.net/publication/400413845_Benchmarking_YOLOv8_Variants_for_Object_Detection_Efficiency_on_Jetson_Orin_NX_for_Edge_Computing_Applications</t>
        </is>
      </c>
      <c r="U588" s="17" t="inlineStr">
        <is>
          <t>أوراق منشورة بانتساب كاكست (أحدثها فبراير 2026 عن YOLOv8 على أجهزة Jetson) والبريد المؤسسي مطابق في ورقة arXiv.</t>
        </is>
      </c>
      <c r="V588" s="17" t="n"/>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https://sciprofiles.com/profile/1766219</t>
        </is>
      </c>
      <c r="U589" s="17" t="inlineStr">
        <is>
          <t>ورقة MDPI (نوفمبر 2025) بانتساب مزدوج كاكست/جامعة الملك سعود؛ أعمال سابقة 2021 بالانتساب نفسه.</t>
        </is>
      </c>
      <c r="V589" s="17" t="n"/>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https://scholar.google.com/citations?user=dmwkh1AAAAAJ&amp;hl=en</t>
        </is>
      </c>
      <c r="U591" s="17" t="inlineStr">
        <is>
          <t>موقع شخصي وLinkedIn يؤكدان الدور الحالي؛ تدريبات بحثية سابقة في Mila وVector Institute.</t>
        </is>
      </c>
      <c r="V591" s="17" t="n"/>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وكيل الدراسات العليا والتعاون الدولي؛ عضو هيئة تدريس (هندسة برمجيات/تعلم آلة)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قيادة · بحث</t>
        </is>
      </c>
      <c r="O596" s="17" t="inlineStr">
        <is>
          <t>https://www.linkedin.com/in/mshangiti/</t>
        </is>
      </c>
      <c r="P596" s="17" t="n"/>
      <c r="Q596" s="17" t="n"/>
      <c r="R596" s="17" t="n"/>
      <c r="S596" s="17" t="n"/>
      <c r="T596" s="17" t="inlineStr">
        <is>
          <t>https://scholar.google.com/citations?user=-v8r8g0AAAAJ&amp;hl=en</t>
        </is>
      </c>
      <c r="U596" s="17" t="inlineStr">
        <is>
          <t>عنوان LinkedIn يطابق المنصب؛ سيرة مشرفه في RIT تدرجه طالب دكتوراه لديه ومؤلفًا أول لورقة ESEC/FSE 2022.</t>
        </is>
      </c>
      <c r="V596" s="17" t="n"/>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t>
        </is>
      </c>
      <c r="H599" s="17" t="inlineStr">
        <is>
          <t>أستاذة مساعدة، علوم وهندسة الحاسب</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https://nuhaalbadi.com/</t>
        </is>
      </c>
      <c r="U599" s="17" t="inlineStr">
        <is>
          <t>موقعها الشخصي يؤكد الدور؛ أبحاث بارزة في كشف خطاب الكراهية العربي والعلوم الاجتماعية الحاسوبية (ASONAM 2018، CSCW 2019).</t>
        </is>
      </c>
      <c r="V599" s="17" t="n"/>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t>
        </is>
      </c>
      <c r="U601" s="17" t="inlineStr">
        <is>
          <t>صفحته الرسمية بجامعة نجران تؤكد الرتبة وإدارة المركز؛ أبحاث تعلم آلة وتصوير طبي (ورقة بورشة CVPR 2024).</t>
        </is>
      </c>
      <c r="V601" s="17" t="n"/>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78</v>
      </c>
      <c r="M607" s="17" t="inlineStr">
        <is>
          <t>غير محدد</t>
        </is>
      </c>
      <c r="N607" s="17" t="inlineStr">
        <is>
          <t>شهادات · توظيف</t>
        </is>
      </c>
      <c r="O607" s="17" t="inlineStr">
        <is>
          <t>https://www.linkedin.com/in/shahad-alhajri/</t>
        </is>
      </c>
      <c r="P607" s="17" t="n"/>
      <c r="Q607" s="17" t="n"/>
      <c r="R607" s="17" t="n"/>
      <c r="S607" s="17" t="n"/>
      <c r="T607" s="17" t="n"/>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V607" s="17" t="n"/>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https://rocketreach.co/nada-alharbi-email_807427043</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n"/>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76</v>
      </c>
      <c r="M611" s="17" t="inlineStr">
        <is>
          <t>غير محدد</t>
        </is>
      </c>
      <c r="N611" s="17" t="inlineStr">
        <is>
          <t>توظيف · شهادات</t>
        </is>
      </c>
      <c r="O611" s="17" t="inlineStr">
        <is>
          <t>https://www.linkedin.com/in/ranaalshehri24/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V611" s="17" t="n"/>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شهادات</t>
        </is>
      </c>
      <c r="O625" s="17" t="n"/>
      <c r="P625" s="17" t="n"/>
      <c r="Q625" s="17" t="n"/>
      <c r="R625" s="17" t="n"/>
      <c r="S625" s="17" t="n"/>
      <c r="T625" s="17" t="n"/>
      <c r="U625" s="17" t="n"/>
      <c r="V625" s="17" t="n"/>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شهادات · توظيف</t>
        </is>
      </c>
      <c r="O630" s="17" t="inlineStr">
        <is>
          <t>https://www.linkedin.com/in/sukainah-alramadhan/</t>
        </is>
      </c>
      <c r="P630" s="17" t="n"/>
      <c r="Q630" s="17" t="n"/>
      <c r="R630" s="17" t="n"/>
      <c r="S630" s="17" t="n"/>
      <c r="T630" s="17" t="n"/>
      <c r="U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V630" s="17" t="inlineStr">
        <is>
          <t>ضمن ملف NVIDIA الرسمي (232) — الإثراء لا يغيّر عدّ الملف الرسمي.</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n"/>
      <c r="G673" s="17" t="inlineStr">
        <is>
          <t>Zid (زد)</t>
        </is>
      </c>
      <c r="H673" s="17" t="inlineStr">
        <is>
          <t>AI Specialist — أخصائي ذكاء اصطناعي</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n"/>
      <c r="U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V673" s="17" t="inlineStr">
        <is>
          <t>رابط LinkedIn من قائمة الإشراف (5 أغسطس 2026)</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n"/>
      <c r="G679" s="17" t="n"/>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inlineStr">
        <is>
          <t>88</t>
        </is>
      </c>
      <c r="M679" s="17" t="inlineStr">
        <is>
          <t>غير محدد</t>
        </is>
      </c>
      <c r="N679" s="17" t="inlineStr">
        <is>
          <t>شهادات</t>
        </is>
      </c>
      <c r="O679" s="17" t="inlineStr">
        <is>
          <t>https://www.linkedin.com/in/hindaljuaid/</t>
        </is>
      </c>
      <c r="P679" s="17" t="n"/>
      <c r="Q679" s="17" t="n"/>
      <c r="R679" s="17" t="n"/>
      <c r="S679" s="17" t="n"/>
      <c r="T679" s="17" t="n"/>
      <c r="U679" s="17" t="inlineStr">
        <is>
          <t>تأكيد لينكدإن (16 أغسطس 2026): يظهر قيدا «SDAIA» و«NVIDIA» في ملفها الشخصي، مع مطابقة فهرس لينكدإن لعبارة البرنامج «Professional Training Program in Large Language Models».</t>
        </is>
      </c>
      <c r="V679" s="17" t="n"/>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t>
        </is>
      </c>
      <c r="E696" s="29" t="inlineStr">
        <is>
          <t>أكاديمية الذكاء الاصطناعي التوليدي — Gen AI Academy</t>
        </is>
      </c>
      <c r="F696" s="17" t="n"/>
      <c r="G696" s="17" t="n"/>
      <c r="H696" s="17" t="n"/>
      <c r="I696" s="17" t="n"/>
      <c r="J696" s="17" t="n"/>
      <c r="K696" s="17" t="inlineStr">
        <is>
          <t>برامج NVIDIA</t>
        </is>
      </c>
      <c r="L696" s="17" t="n">
        <v>75</v>
      </c>
      <c r="M696" s="17" t="inlineStr">
        <is>
          <t>غير محدد</t>
        </is>
      </c>
      <c r="N696" s="17" t="inlineStr">
        <is>
          <t>شهادات</t>
        </is>
      </c>
      <c r="O696" s="17" t="n"/>
      <c r="P696" s="17" t="n"/>
      <c r="Q696" s="17" t="n"/>
      <c r="R696" s="17" t="n"/>
      <c r="S696" s="17" t="n"/>
      <c r="T696" s="17" t="n"/>
      <c r="U696" s="17" t="n"/>
      <c r="V696" s="17" t="n"/>
      <c r="W696" s="17" t="inlineStr">
        <is>
          <t>الملف الرسمي «برامج انفيديا» (يوليو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شهادات</t>
        </is>
      </c>
      <c r="O702" s="17" t="n"/>
      <c r="P702" s="17" t="n"/>
      <c r="Q702" s="17" t="n"/>
      <c r="R702" s="17" t="n"/>
      <c r="S702" s="17" t="n"/>
      <c r="T702" s="17" t="n"/>
      <c r="U702" s="17" t="n"/>
      <c r="V702" s="17" t="n"/>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t>
        </is>
      </c>
      <c r="E707" s="29" t="inlineStr">
        <is>
          <t>أكاديمية الذكاء الاصطناعي التوليدي — Gen AI Academy</t>
        </is>
      </c>
      <c r="F707" s="17" t="n"/>
      <c r="G707" s="17" t="n"/>
      <c r="H707" s="17" t="n"/>
      <c r="I707" s="17" t="n"/>
      <c r="J707" s="17" t="n"/>
      <c r="K707" s="17" t="inlineStr">
        <is>
          <t>برامج NVIDIA</t>
        </is>
      </c>
      <c r="L707" s="17" t="n">
        <v>75</v>
      </c>
      <c r="M707" s="17" t="inlineStr">
        <is>
          <t>غير محدد</t>
        </is>
      </c>
      <c r="N707" s="17" t="inlineStr">
        <is>
          <t>شهادات</t>
        </is>
      </c>
      <c r="O707" s="17" t="n"/>
      <c r="P707" s="17" t="n"/>
      <c r="Q707" s="17" t="n"/>
      <c r="R707" s="17" t="n"/>
      <c r="S707" s="17" t="n"/>
      <c r="T707" s="17" t="n"/>
      <c r="U707" s="17" t="n"/>
      <c r="V707" s="17" t="n"/>
      <c r="W707" s="17" t="inlineStr">
        <is>
          <t>الملف الرسمي «برامج انفيديا» (يوليو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n"/>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29" t="inlineStr">
        <is>
          <t>مهندس ذكاء اصطناعي — AI Engineer</t>
        </is>
      </c>
      <c r="F801" s="17" t="inlineStr">
        <is>
          <t>سبتمبر–نوفمبر 2023</t>
        </is>
      </c>
      <c r="G801" s="17" t="n"/>
      <c r="H801" s="17" t="n"/>
      <c r="I801" s="17" t="n"/>
      <c r="J801" s="17" t="n"/>
      <c r="K801" s="17" t="inlineStr">
        <is>
          <t>معسكرات 2023 (القوائم الكاملة)</t>
        </is>
      </c>
      <c r="L801" s="17" t="n">
        <v>75</v>
      </c>
      <c r="M801" s="17" t="inlineStr">
        <is>
          <t>حدّي</t>
        </is>
      </c>
      <c r="N801" s="17" t="inlineStr">
        <is>
          <t>شهادات</t>
        </is>
      </c>
      <c r="O801" s="17" t="n"/>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t>
        </is>
      </c>
      <c r="V801" s="17" t="n"/>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75</v>
      </c>
      <c r="M808" s="17" t="inlineStr">
        <is>
          <t>حدّي</t>
        </is>
      </c>
      <c r="N808" s="17" t="inlineStr">
        <is>
          <t>شهادات</t>
        </is>
      </c>
      <c r="O808" s="17" t="n"/>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t>
        </is>
      </c>
      <c r="V808" s="17" t="n"/>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29" t="inlineStr">
        <is>
          <t>مهندس ذكاء اصطناعي — AI Engineer</t>
        </is>
      </c>
      <c r="F839" s="17" t="inlineStr">
        <is>
          <t>سبتمبر–نوفمبر 2023</t>
        </is>
      </c>
      <c r="G839" s="17" t="n"/>
      <c r="H839" s="17" t="n"/>
      <c r="I839" s="17" t="n"/>
      <c r="J839" s="17" t="n"/>
      <c r="K839" s="17" t="inlineStr">
        <is>
          <t>معسكرات 2023 (القوائم الكاملة)</t>
        </is>
      </c>
      <c r="L839" s="17" t="n">
        <v>75</v>
      </c>
      <c r="M839" s="17" t="inlineStr">
        <is>
          <t>حدّي</t>
        </is>
      </c>
      <c r="N839" s="17" t="inlineStr">
        <is>
          <t>شهادات</t>
        </is>
      </c>
      <c r="O839" s="17" t="n"/>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t>
        </is>
      </c>
      <c r="V839" s="17" t="n"/>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n"/>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t>
        </is>
      </c>
      <c r="V874" s="17" t="n"/>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n"/>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t>
        </is>
      </c>
      <c r="V910" s="17" t="n"/>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n"/>
      <c r="H928" s="17" t="n"/>
      <c r="I928" s="17" t="n"/>
      <c r="J928" s="17" t="n"/>
      <c r="K928" s="17" t="inlineStr">
        <is>
          <t>معسكرات 2023 (القوائم الكاملة)</t>
        </is>
      </c>
      <c r="L928" s="17" t="n">
        <v>75</v>
      </c>
      <c r="M928" s="17" t="inlineStr">
        <is>
          <t>حدّي</t>
        </is>
      </c>
      <c r="N928" s="17" t="inlineStr">
        <is>
          <t>شهادات</t>
        </is>
      </c>
      <c r="O928" s="17" t="n"/>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t>
        </is>
      </c>
      <c r="V928" s="17" t="n"/>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75</v>
      </c>
      <c r="M936" s="17" t="inlineStr">
        <is>
          <t>حدّي</t>
        </is>
      </c>
      <c r="N936" s="17" t="inlineStr">
        <is>
          <t>شهادات</t>
        </is>
      </c>
      <c r="O936" s="17" t="n"/>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t>
        </is>
      </c>
      <c r="V936" s="17" t="n"/>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29" t="inlineStr">
        <is>
          <t>مهندس ذكاء اصطناعي — AI Engineer</t>
        </is>
      </c>
      <c r="F967" s="17" t="inlineStr">
        <is>
          <t>سبتمبر–نوفمبر 2023</t>
        </is>
      </c>
      <c r="G967" s="17" t="n"/>
      <c r="H967" s="17" t="n"/>
      <c r="I967" s="17" t="n"/>
      <c r="J967" s="17" t="n"/>
      <c r="K967" s="17" t="inlineStr">
        <is>
          <t>معسكرات 2023 (القوائم الكاملة)</t>
        </is>
      </c>
      <c r="L967" s="17" t="n">
        <v>75</v>
      </c>
      <c r="M967" s="17" t="inlineStr">
        <is>
          <t>حدّي</t>
        </is>
      </c>
      <c r="N967" s="17" t="inlineStr">
        <is>
          <t>شهادات</t>
        </is>
      </c>
      <c r="O967" s="17" t="n"/>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t>
        </is>
      </c>
      <c r="V967" s="17" t="n"/>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n"/>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t>
        </is>
      </c>
      <c r="V1003" s="17" t="n"/>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n"/>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t>
        </is>
      </c>
      <c r="V1005" s="17" t="n"/>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شهادات</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t>
        </is>
      </c>
      <c r="V1013" s="17" t="n"/>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شهادات</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n"/>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t>
        </is>
      </c>
      <c r="V1037" s="17" t="n"/>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29" t="inlineStr">
        <is>
          <t>مهندس ذكاء اصطناعي — AI Engineer</t>
        </is>
      </c>
      <c r="F1050" s="17" t="inlineStr">
        <is>
          <t>سبتمبر–نوفمبر 2023</t>
        </is>
      </c>
      <c r="G1050" s="17" t="n"/>
      <c r="H1050" s="17" t="n"/>
      <c r="I1050" s="17" t="n"/>
      <c r="J1050" s="17" t="n"/>
      <c r="K1050" s="17" t="inlineStr">
        <is>
          <t>معسكرات 2023 (القوائم الكاملة)</t>
        </is>
      </c>
      <c r="L1050" s="17" t="n">
        <v>75</v>
      </c>
      <c r="M1050" s="17" t="inlineStr">
        <is>
          <t>حدّي</t>
        </is>
      </c>
      <c r="N1050" s="17" t="inlineStr">
        <is>
          <t>شهادات</t>
        </is>
      </c>
      <c r="O1050" s="17" t="n"/>
      <c r="P1050" s="17" t="n"/>
      <c r="Q1050" s="17" t="n"/>
      <c r="R1050" s="17" t="n"/>
      <c r="S1050" s="17" t="n"/>
      <c r="T1050" s="17" t="n"/>
      <c r="U1050" s="17" t="inlineStr">
        <is>
          <t>من القوائم الرسمية الكاملة لمعسكرات 2023 (المجلد الجديد؛ دُمجت 21 يوليو 2026) — غير وارد في سجل المجتازين الـ108.</t>
        </is>
      </c>
      <c r="V1050" s="17" t="n"/>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29" t="inlineStr">
        <is>
          <t>مهندس ذكاء اصطناعي — AI Engineer</t>
        </is>
      </c>
      <c r="F1060" s="17" t="inlineStr">
        <is>
          <t>سبتمبر–نوفمبر 2023</t>
        </is>
      </c>
      <c r="G1060" s="17" t="n"/>
      <c r="H1060" s="17" t="n"/>
      <c r="I1060" s="17" t="n"/>
      <c r="J1060" s="17" t="n"/>
      <c r="K1060" s="17" t="inlineStr">
        <is>
          <t>معسكرات 2023 (القوائم الكاملة)</t>
        </is>
      </c>
      <c r="L1060" s="17" t="n">
        <v>75</v>
      </c>
      <c r="M1060" s="17" t="inlineStr">
        <is>
          <t>حدّي</t>
        </is>
      </c>
      <c r="N1060" s="17" t="inlineStr">
        <is>
          <t>شهادات</t>
        </is>
      </c>
      <c r="O1060" s="17" t="n"/>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t>
        </is>
      </c>
      <c r="V1060" s="17" t="n"/>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29" t="inlineStr">
        <is>
          <t>مهندس ذكاء اصطناعي — AI Engineer</t>
        </is>
      </c>
      <c r="F1065" s="17" t="inlineStr">
        <is>
          <t>سبتمبر–نوفمبر 2023</t>
        </is>
      </c>
      <c r="G1065" s="17" t="n"/>
      <c r="H1065" s="17" t="n"/>
      <c r="I1065" s="17" t="n"/>
      <c r="J1065" s="17" t="n"/>
      <c r="K1065" s="17" t="inlineStr">
        <is>
          <t>معسكرات 2023 (القوائم الكاملة)</t>
        </is>
      </c>
      <c r="L1065" s="17" t="n">
        <v>75</v>
      </c>
      <c r="M1065" s="17" t="inlineStr">
        <is>
          <t>حدّي</t>
        </is>
      </c>
      <c r="N1065" s="17" t="inlineStr">
        <is>
          <t>شهادات</t>
        </is>
      </c>
      <c r="O1065" s="17" t="n"/>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t>
        </is>
      </c>
      <c r="V1065" s="17" t="n"/>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n"/>
      <c r="H1066" s="17" t="n"/>
      <c r="I1066" s="17" t="n"/>
      <c r="J1066" s="17" t="n"/>
      <c r="K1066" s="17" t="inlineStr">
        <is>
          <t>معسكرات 2023 (القوائم الكاملة)</t>
        </is>
      </c>
      <c r="L1066" s="17" t="n">
        <v>75</v>
      </c>
      <c r="M1066" s="17" t="inlineStr">
        <is>
          <t>حدّي</t>
        </is>
      </c>
      <c r="N1066" s="17" t="inlineStr">
        <is>
          <t>شهادات</t>
        </is>
      </c>
      <c r="O1066" s="17" t="n"/>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t>
        </is>
      </c>
      <c r="V1066" s="17" t="n"/>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29" t="inlineStr">
        <is>
          <t>مهندس ذكاء اصطناعي — AI Engineer</t>
        </is>
      </c>
      <c r="F1100" s="17" t="inlineStr">
        <is>
          <t>سبتمبر–نوفمبر 2023</t>
        </is>
      </c>
      <c r="G1100" s="17" t="n"/>
      <c r="H1100" s="17" t="n"/>
      <c r="I1100" s="17" t="n"/>
      <c r="J1100" s="17" t="n"/>
      <c r="K1100" s="17" t="inlineStr">
        <is>
          <t>معسكرات 2023 (القوائم الكاملة)</t>
        </is>
      </c>
      <c r="L1100" s="17" t="n">
        <v>75</v>
      </c>
      <c r="M1100" s="17" t="inlineStr">
        <is>
          <t>حدّي</t>
        </is>
      </c>
      <c r="N1100" s="17" t="inlineStr">
        <is>
          <t>شهادات</t>
        </is>
      </c>
      <c r="O1100" s="17" t="n"/>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t>
        </is>
      </c>
      <c r="V1100" s="17" t="n"/>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شهادات</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t>
        </is>
      </c>
      <c r="V1175" s="17" t="n"/>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t>
        </is>
      </c>
      <c r="E1183" s="29" t="inlineStr">
        <is>
          <t>مهندس ذكاء اصطناعي — AI Engineer</t>
        </is>
      </c>
      <c r="F1183" s="17" t="inlineStr">
        <is>
          <t>الربع الأول 2024 (الفترة الدقيقة غير محددة بالملف)</t>
        </is>
      </c>
      <c r="G1183" s="17" t="n"/>
      <c r="H1183" s="17" t="n"/>
      <c r="I1183" s="17" t="n"/>
      <c r="J1183" s="17" t="n"/>
      <c r="K1183" s="17" t="inlineStr">
        <is>
          <t>سجلات 2024 الرسمية</t>
        </is>
      </c>
      <c r="L1183" s="17" t="n">
        <v>75</v>
      </c>
      <c r="M1183" s="17" t="inlineStr">
        <is>
          <t>ضمن النطاق</t>
        </is>
      </c>
      <c r="N1183" s="17" t="inlineStr">
        <is>
          <t>شهادات</t>
        </is>
      </c>
      <c r="O1183" s="17" t="n"/>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t>
        </is>
      </c>
      <c r="V1183" s="17" t="n"/>
      <c r="W1183" s="17" t="inlineStr">
        <is>
          <t>الوثائق الداعمة للمؤشر الاستراتيجي</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n"/>
      <c r="H1261" s="17" t="n"/>
      <c r="I1261" s="17" t="n"/>
      <c r="J1261" s="17" t="n"/>
      <c r="K1261" s="17" t="inlineStr">
        <is>
          <t>سجلات 2024 الرسمية</t>
        </is>
      </c>
      <c r="L1261" s="17" t="n">
        <v>75</v>
      </c>
      <c r="M1261" s="17" t="inlineStr">
        <is>
          <t>ضمن النطاق</t>
        </is>
      </c>
      <c r="N1261" s="17" t="inlineStr">
        <is>
          <t>شهادات</t>
        </is>
      </c>
      <c r="O1261" s="17" t="n"/>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t>
        </is>
      </c>
      <c r="V1261" s="17" t="n"/>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شهادات</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t>
        </is>
      </c>
      <c r="V1272" s="17" t="n"/>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n"/>
      <c r="H1297" s="17" t="n"/>
      <c r="I1297" s="17" t="n"/>
      <c r="J1297" s="17" t="n"/>
      <c r="K1297" s="17" t="inlineStr">
        <is>
          <t>سجلات 2024 الرسمية</t>
        </is>
      </c>
      <c r="L1297" s="17" t="n">
        <v>75</v>
      </c>
      <c r="M1297" s="17" t="inlineStr">
        <is>
          <t>ضمن النطاق</t>
        </is>
      </c>
      <c r="N1297" s="17" t="inlineStr">
        <is>
          <t>شهادات</t>
        </is>
      </c>
      <c r="O1297" s="17" t="n"/>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t>
        </is>
      </c>
      <c r="V1297" s="17" t="n"/>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75</v>
      </c>
      <c r="M1300" s="17" t="inlineStr">
        <is>
          <t>ضمن النطاق</t>
        </is>
      </c>
      <c r="N1300" s="17" t="inlineStr">
        <is>
          <t>شهادات</t>
        </is>
      </c>
      <c r="O1300" s="17" t="n"/>
      <c r="P1300" s="17" t="n"/>
      <c r="Q1300" s="17" t="n"/>
      <c r="R1300" s="17" t="n"/>
      <c r="S1300" s="17" t="n"/>
      <c r="T1300" s="17" t="n"/>
      <c r="U1300" s="17" t="inlineStr">
        <is>
          <t>من «الوثائق الداعمة للمؤشر الاستراتيجي — بناء القدرات» (الربع الأول؛ ملف مؤرخ 09-05-2024). أرقام الهوية محجوبة.</t>
        </is>
      </c>
      <c r="V1300" s="17" t="n"/>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شهادات</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t>
        </is>
      </c>
      <c r="V1345" s="17" t="n"/>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شهادات</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t>
        </is>
      </c>
      <c r="V1369" s="17" t="n"/>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29" t="inlineStr">
        <is>
          <t>مهندس ذكاء اصطناعي — AI Engineer</t>
        </is>
      </c>
      <c r="F1389" s="17" t="inlineStr">
        <is>
          <t>الربع الأول 2024 (الفترة الدقيقة غير محددة بالملف)</t>
        </is>
      </c>
      <c r="G1389" s="17" t="n"/>
      <c r="H1389" s="17" t="n"/>
      <c r="I1389" s="17" t="n"/>
      <c r="J1389" s="17" t="n"/>
      <c r="K1389" s="17" t="inlineStr">
        <is>
          <t>سجلات 2024 الرسمية</t>
        </is>
      </c>
      <c r="L1389" s="17" t="n">
        <v>75</v>
      </c>
      <c r="M1389" s="17" t="inlineStr">
        <is>
          <t>ضمن النطاق</t>
        </is>
      </c>
      <c r="N1389" s="17" t="inlineStr">
        <is>
          <t>شهادات</t>
        </is>
      </c>
      <c r="O1389" s="17" t="n"/>
      <c r="P1389" s="17" t="n"/>
      <c r="Q1389" s="17" t="n"/>
      <c r="R1389" s="17" t="n"/>
      <c r="S1389" s="17" t="n"/>
      <c r="T1389" s="17" t="n"/>
      <c r="U1389" s="17" t="inlineStr">
        <is>
          <t>من «الوثائق الداعمة للمؤشر الاستراتيجي — بناء القدرات» (الربع الأول؛ ملف مؤرخ 09-05-2024). أرقام الهوية محجوبة.</t>
        </is>
      </c>
      <c r="V1389" s="17" t="n"/>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75</v>
      </c>
      <c r="M1434" s="17" t="inlineStr">
        <is>
          <t>ضمن النطاق</t>
        </is>
      </c>
      <c r="N1434" s="17" t="inlineStr">
        <is>
          <t>شهادات</t>
        </is>
      </c>
      <c r="O1434" s="17" t="n"/>
      <c r="P1434" s="17" t="n"/>
      <c r="Q1434" s="17" t="n"/>
      <c r="R1434" s="17" t="n"/>
      <c r="S1434" s="17" t="n"/>
      <c r="T1434" s="17" t="n"/>
      <c r="U1434" s="17" t="inlineStr">
        <is>
          <t>من «الوثائق الداعمة للمؤشر الاستراتيجي — بناء القدرات» (الربع الأول؛ ملف مؤرخ 09-05-2024). أرقام الهوية محجوبة.</t>
        </is>
      </c>
      <c r="V1434" s="17" t="n"/>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n"/>
      <c r="H1445" s="17" t="n"/>
      <c r="I1445" s="17" t="n"/>
      <c r="J1445" s="17" t="n"/>
      <c r="K1445" s="17" t="inlineStr">
        <is>
          <t>سجلات 2024 الرسمية</t>
        </is>
      </c>
      <c r="L1445" s="17" t="n">
        <v>75</v>
      </c>
      <c r="M1445" s="17" t="inlineStr">
        <is>
          <t>ضمن النطاق</t>
        </is>
      </c>
      <c r="N1445" s="17" t="inlineStr">
        <is>
          <t>شهادات</t>
        </is>
      </c>
      <c r="O1445" s="17" t="n"/>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t>
        </is>
      </c>
      <c r="V1445" s="17" t="n"/>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29" t="inlineStr">
        <is>
          <t>مهندس ذكاء اصطناعي — AI Engineer</t>
        </is>
      </c>
      <c r="F1453" s="17" t="inlineStr">
        <is>
          <t>الربع الأول 2024 (الفترة الدقيقة غير محددة بالملف)</t>
        </is>
      </c>
      <c r="G1453" s="17" t="n"/>
      <c r="H1453" s="17" t="n"/>
      <c r="I1453" s="17" t="n"/>
      <c r="J1453" s="17" t="n"/>
      <c r="K1453" s="17" t="inlineStr">
        <is>
          <t>سجلات 2024 الرسمية</t>
        </is>
      </c>
      <c r="L1453" s="17" t="n">
        <v>75</v>
      </c>
      <c r="M1453" s="17" t="inlineStr">
        <is>
          <t>ضمن النطاق</t>
        </is>
      </c>
      <c r="N1453" s="17" t="inlineStr">
        <is>
          <t>شهادات</t>
        </is>
      </c>
      <c r="O1453" s="17" t="n"/>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t>
        </is>
      </c>
      <c r="V1453" s="17" t="n"/>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n"/>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t>
        </is>
      </c>
      <c r="V1460" s="17" t="n"/>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n"/>
      <c r="P1876" s="17" t="n"/>
      <c r="Q1876" s="17" t="n"/>
      <c r="R1876" s="17" t="n"/>
      <c r="S1876" s="17" t="n"/>
      <c r="T1876" s="17" t="n"/>
      <c r="U1876" s="17" t="inlineStr">
        <is>
          <t>شهادة إتمام برنامج تدريبي (AI Applications Development Program) — من ملف شهادات رسمي (33 صفحة).</t>
        </is>
      </c>
      <c r="V1876" s="17" t="n"/>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29" t="inlineStr">
        <is>
          <t>مهندس ذكاء اصطناعي — AI Engineer</t>
        </is>
      </c>
      <c r="F1882" s="17" t="inlineStr">
        <is>
          <t>27 أكتوبر – 7 نوفمبر 2024</t>
        </is>
      </c>
      <c r="G1882" s="17" t="n"/>
      <c r="H1882" s="17" t="n"/>
      <c r="I1882" s="17" t="n"/>
      <c r="J1882" s="17" t="n"/>
      <c r="K1882" s="17" t="inlineStr">
        <is>
          <t>سجلات 2024 الرسمية</t>
        </is>
      </c>
      <c r="L1882" s="17" t="n">
        <v>75</v>
      </c>
      <c r="M1882" s="17" t="inlineStr">
        <is>
          <t>ضمن النطاق</t>
        </is>
      </c>
      <c r="N1882" s="17" t="inlineStr">
        <is>
          <t>شهادات</t>
        </is>
      </c>
      <c r="O1882" s="17" t="n"/>
      <c r="P1882" s="17" t="n"/>
      <c r="Q1882" s="17" t="n"/>
      <c r="R1882" s="17" t="n"/>
      <c r="S1882" s="17" t="n"/>
      <c r="T1882" s="17" t="n"/>
      <c r="U1882" s="17" t="inlineStr">
        <is>
          <t>شهادة إتمام برنامج تدريبي (AI Applications Development Program) — من ملف شهادات رسمي (33 صفحة).</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2026-07-13</t>
        </is>
      </c>
      <c r="G1923" s="17" t="n"/>
      <c r="H1923" s="17" t="n"/>
      <c r="I1923" s="17" t="n"/>
      <c r="J1923" s="17" t="n"/>
      <c r="K1923" s="17" t="inlineStr">
        <is>
          <t>مجتازو 2026 (سجل الشهادات — اجتياز)</t>
        </is>
      </c>
      <c r="L1923" s="17" t="n">
        <v>75</v>
      </c>
      <c r="M1923" s="17" t="inlineStr">
        <is>
          <t>ضمن النطاق</t>
        </is>
      </c>
      <c r="N1923" s="17" t="inlineStr">
        <is>
          <t>شهادات</t>
        </is>
      </c>
      <c r="O1923" s="17" t="n"/>
      <c r="P1923" s="17" t="n"/>
      <c r="Q1923" s="17" t="n"/>
      <c r="R1923" s="17" t="n"/>
      <c r="S1923" s="17" t="n"/>
      <c r="T1923" s="17" t="n"/>
      <c r="U1923" s="17" t="inlineStr">
        <is>
          <t>اجتياز برنامج/برامج أكاديمية سدايا 2026 (شهادة اجتياز). المصدر الداخلي: سجل شهادات البرامج والمعسكرات 2025–2026. لا رابط علني.</t>
        </is>
      </c>
      <c r="V1923" s="17" t="n"/>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2026-06-28</t>
        </is>
      </c>
      <c r="G1971" s="17" t="n"/>
      <c r="H1971" s="17" t="n"/>
      <c r="I1971" s="17" t="n"/>
      <c r="J1971" s="17" t="n"/>
      <c r="K1971" s="17" t="inlineStr">
        <is>
          <t>مجتازو 2026 (سجل الشهادات — اجتياز)</t>
        </is>
      </c>
      <c r="L1971" s="17" t="n">
        <v>75</v>
      </c>
      <c r="M1971" s="17" t="inlineStr">
        <is>
          <t>ضمن النطاق</t>
        </is>
      </c>
      <c r="N1971" s="17" t="inlineStr">
        <is>
          <t>شهادات</t>
        </is>
      </c>
      <c r="O1971" s="17" t="n"/>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t>
        </is>
      </c>
      <c r="V1971" s="17" t="n"/>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2026-06-28</t>
        </is>
      </c>
      <c r="G1989" s="17" t="n"/>
      <c r="H1989" s="17" t="n"/>
      <c r="I1989" s="17" t="n"/>
      <c r="J1989" s="17" t="n"/>
      <c r="K1989" s="17" t="inlineStr">
        <is>
          <t>مجتازو 2026 (سجل الشهادات — اجتياز)</t>
        </is>
      </c>
      <c r="L1989" s="17" t="n">
        <v>75</v>
      </c>
      <c r="M1989" s="17" t="inlineStr">
        <is>
          <t>ضمن النطاق</t>
        </is>
      </c>
      <c r="N1989" s="17" t="inlineStr">
        <is>
          <t>شهادات</t>
        </is>
      </c>
      <c r="O1989" s="17" t="n"/>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t>
        </is>
      </c>
      <c r="V1989" s="17" t="n"/>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2026-05-17</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n"/>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t>
        </is>
      </c>
      <c r="V2179" s="17" t="n"/>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75</v>
      </c>
      <c r="M2358" s="17" t="inlineStr">
        <is>
          <t>ضمن النطاق</t>
        </is>
      </c>
      <c r="N2358" s="17" t="inlineStr">
        <is>
          <t>شهادات</t>
        </is>
      </c>
      <c r="O2358" s="17" t="n"/>
      <c r="P2358" s="17" t="n"/>
      <c r="Q2358" s="17" t="n"/>
      <c r="R2358" s="17" t="n"/>
      <c r="S2358" s="17" t="n"/>
      <c r="T2358" s="17" t="n"/>
      <c r="U2358" s="17" t="inlineStr">
        <is>
          <t>اجتياز برنامج/برامج أكاديمية سدايا 2026 (شهادة اجتياز). المصدر الداخلي: سجل شهادات البرامج والمعسكرات 2025–2026. لا رابط علني.</t>
        </is>
      </c>
      <c r="V2358" s="17" t="n"/>
      <c r="W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n"/>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t>
        </is>
      </c>
      <c r="V2477" s="17" t="n"/>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2026-02-11</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n"/>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t>
        </is>
      </c>
      <c r="V2479" s="17" t="n"/>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2026-02-11</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V2483" s="17" t="n"/>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2026-02-11</t>
        </is>
      </c>
      <c r="G2502" s="17" t="n"/>
      <c r="H2502" s="17" t="n"/>
      <c r="I2502" s="17" t="n"/>
      <c r="J2502" s="17" t="n"/>
      <c r="K2502" s="17" t="inlineStr">
        <is>
          <t>مجتازو 2026 (سجل الشهادات — اجتياز)</t>
        </is>
      </c>
      <c r="L2502" s="17" t="n">
        <v>75</v>
      </c>
      <c r="M2502" s="17" t="inlineStr">
        <is>
          <t>ضمن النطاق</t>
        </is>
      </c>
      <c r="N2502" s="17" t="inlineStr">
        <is>
          <t>شهادات</t>
        </is>
      </c>
      <c r="O2502" s="17" t="n"/>
      <c r="P2502" s="17" t="n"/>
      <c r="Q2502" s="17" t="n"/>
      <c r="R2502" s="17" t="n"/>
      <c r="S2502" s="17" t="n"/>
      <c r="T2502" s="17" t="n"/>
      <c r="U2502" s="17" t="inlineStr">
        <is>
          <t>اجتياز برنامج/برامج أكاديمية سدايا 2026 (شهادة اجتياز). المصدر الداخلي: سجل شهادات البرامج والمعسكرات 2025–2026. لا رابط علني.</t>
        </is>
      </c>
      <c r="V2502" s="17" t="n"/>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2026-02-11</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n"/>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t>
        </is>
      </c>
      <c r="V2505" s="17" t="n"/>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29" t="inlineStr">
        <is>
          <t>مهندس ذكاء اصطناعي — AI Engineer</t>
        </is>
      </c>
      <c r="F2510" s="17" t="inlineStr">
        <is>
          <t>2026-02-11</t>
        </is>
      </c>
      <c r="G2510" s="17" t="n"/>
      <c r="H2510" s="17" t="n"/>
      <c r="I2510" s="17" t="n"/>
      <c r="J2510" s="17" t="n"/>
      <c r="K2510" s="17" t="inlineStr">
        <is>
          <t>مجتازو 2026 (سجل الشهادات — اجتياز)</t>
        </is>
      </c>
      <c r="L2510" s="17" t="n">
        <v>75</v>
      </c>
      <c r="M2510" s="17" t="inlineStr">
        <is>
          <t>ضمن النطاق</t>
        </is>
      </c>
      <c r="N2510" s="17" t="inlineStr">
        <is>
          <t>شهادات</t>
        </is>
      </c>
      <c r="O2510" s="17" t="n"/>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29" t="inlineStr">
        <is>
          <t>مهندس ذكاء اصطناعي — AI Engineer</t>
        </is>
      </c>
      <c r="F2512" s="17" t="inlineStr">
        <is>
          <t>2026-02-11</t>
        </is>
      </c>
      <c r="G2512" s="17" t="n"/>
      <c r="H2512" s="17" t="n"/>
      <c r="I2512" s="17" t="n"/>
      <c r="J2512" s="17" t="n"/>
      <c r="K2512" s="17" t="inlineStr">
        <is>
          <t>مجتازو 2026 (سجل الشهادات — اجتياز)</t>
        </is>
      </c>
      <c r="L2512" s="17" t="n">
        <v>75</v>
      </c>
      <c r="M2512" s="17" t="inlineStr">
        <is>
          <t>ضمن النطاق</t>
        </is>
      </c>
      <c r="N2512" s="17" t="inlineStr">
        <is>
          <t>شهادات</t>
        </is>
      </c>
      <c r="O2512" s="17" t="n"/>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2026-02-11</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n"/>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516" s="17" t="n"/>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2026-02-11</t>
        </is>
      </c>
      <c r="G2518" s="17" t="n"/>
      <c r="H2518" s="17" t="inlineStr">
        <is>
          <t>AI &amp; Machine Learning Engineer</t>
        </is>
      </c>
      <c r="I2518" s="17" t="n"/>
      <c r="J2518" s="17" t="n"/>
      <c r="K2518" s="17" t="inlineStr">
        <is>
          <t>مجتازو 2026 (سجل الشهادات — اجتياز)</t>
        </is>
      </c>
      <c r="L2518" s="17" t="n">
        <v>85</v>
      </c>
      <c r="M2518" s="17" t="inlineStr">
        <is>
          <t>ضمن النطاق</t>
        </is>
      </c>
      <c r="N2518" s="17" t="inlineStr">
        <is>
          <t>شهادات · برنامج</t>
        </is>
      </c>
      <c r="O2518" s="17" t="inlineStr">
        <is>
          <t>https://www.linkedin.com/in/komail-albasri-a93b4727a</t>
        </is>
      </c>
      <c r="P2518" s="17" t="n"/>
      <c r="Q2518" s="17" t="n"/>
      <c r="R2518" s="17" t="n"/>
      <c r="S2518" s="17" t="n"/>
      <c r="T2518" s="17" t="inlineStr">
        <is>
          <t>https://www.linkedin.com/posts/komail-albasri-a93b4727a_sdaia-artificialintelligence-ai-share-7406341042255523840-REP-/</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V2518" s="17" t="n"/>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n"/>
      <c r="H2525" s="17" t="n"/>
      <c r="I2525" s="17" t="n"/>
      <c r="J2525" s="17" t="n"/>
      <c r="K2525" s="17" t="inlineStr">
        <is>
          <t>مجتازو 2026 (سجل الشهادات — اجتياز)</t>
        </is>
      </c>
      <c r="L2525" s="17" t="n">
        <v>75</v>
      </c>
      <c r="M2525" s="17" t="inlineStr">
        <is>
          <t>ضمن النطاق</t>
        </is>
      </c>
      <c r="N2525" s="17" t="inlineStr">
        <is>
          <t>شهادات</t>
        </is>
      </c>
      <c r="O2525" s="17" t="n"/>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t>
        </is>
      </c>
      <c r="V2525" s="17" t="n"/>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t>
        </is>
      </c>
      <c r="U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V2552" s="18" t="inlineStr">
        <is>
          <t>درجة ثقة مبدئية — يتطلب تحققًا قبل أي استخدام مؤثر</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H2571" s="14" t="inlineStr">
        <is>
          <t>Data Engineering Analyst</t>
        </is>
      </c>
      <c r="K2571" s="18" t="inlineStr">
        <is>
          <t>المسح العلني الموسّع — أغسطس 2026</t>
        </is>
      </c>
      <c r="L2571" s="14" t="n">
        <v>85</v>
      </c>
      <c r="M2571" s="18" t="inlineStr">
        <is>
          <t>ضمن النطاق</t>
        </is>
      </c>
      <c r="N2571" s="18" t="inlineStr">
        <is>
          <t>شهادات · برنامج</t>
        </is>
      </c>
      <c r="O2571" s="14" t="inlineStr">
        <is>
          <t>https://www.linkedin.com/in/jehadalhazmi</t>
        </is>
      </c>
      <c r="T2571" s="14" t="inlineStr">
        <is>
          <t>https://www.linkedin.com/posts/jehadalhazmi_sdaia-ican-dataengineer-ugcPost-7423615489144356864-Z5Fa/</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t>
        </is>
      </c>
      <c r="W2571" s="18" t="inlineStr">
        <is>
          <t>روابط إشراف الأكاديمية — 6 أغسطس 2026 (منشورات LinkedIn علنية)</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AI Engineer</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K2619" s="19" t="inlineStr">
        <is>
          <t>المسح العلني الموسّع — أغسطس 2026</t>
        </is>
      </c>
      <c r="L2619" s="14" t="n">
        <v>82</v>
      </c>
      <c r="M2619" s="19" t="inlineStr">
        <is>
          <t>ضمن النطاق</t>
        </is>
      </c>
      <c r="N2619" s="19" t="inlineStr">
        <is>
          <t>شهادات</t>
        </is>
      </c>
      <c r="O2619" s="14" t="inlineStr">
        <is>
          <t>https://www.linkedin.com/in/shooq-alwuthaynani/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75</v>
      </c>
      <c r="M2627" s="19" t="inlineStr">
        <is>
          <t>ضمن النطاق</t>
        </is>
      </c>
      <c r="N2627" s="19" t="inlineStr">
        <is>
          <t>شهادات</t>
        </is>
      </c>
      <c r="O2627" s="14" t="inlineStr">
        <is>
          <t>https://www.linkedin.com/in/mohammed-alqahtani-a655a328b/</t>
        </is>
      </c>
      <c r="U2627" s="19" t="inlineStr">
        <is>
          <t>منشوران علنيان ثنائيا اللغة (~أواخر يوليو و6 أغسطس 2026، 19+ و26+ تفاعلًا): اجتياز اختبار NCA-GENL ثم اجتياز معسكر التدريب الاحترافي في LLMs (إنفيديا).</t>
        </is>
      </c>
      <c r="V2627" s="19" t="inlineStr">
        <is>
          <t>تنبيه هوية: تطابق اسمي فقط مع سجل شهادات قائم «محمد القحطاني» (برامج بيانات مختلفة، فبراير–يونيو 2026) — لم يُدمج لغياب دليل رابط.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sheetData>
  <autoFilter ref="A1:W265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5"/>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16 أغسطس 2026 (إعادة الهيكلة وتوحيد المسارات)</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البيانات'!$K$2:$K$2652,A4)</f>
        <v/>
      </c>
    </row>
    <row r="5" ht="15" customHeight="1" s="15">
      <c r="A5" s="18" t="inlineStr">
        <is>
          <t>اكتشافات يوليو 2026</t>
        </is>
      </c>
      <c r="B5" s="14">
        <f>COUNTIF('قاعدة البيانات'!$K$2:$K$2652,A5)</f>
        <v/>
      </c>
    </row>
    <row r="6" ht="15" customHeight="1" s="15">
      <c r="A6" s="18" t="inlineStr">
        <is>
          <t>انتساب ذاتي مؤكد</t>
        </is>
      </c>
      <c r="B6" s="14">
        <f>COUNTIF('قاعدة البيانات'!$K$2:$K$2652,A6)</f>
        <v/>
      </c>
    </row>
    <row r="7" ht="15" customHeight="1" s="15">
      <c r="A7" s="18" t="inlineStr">
        <is>
          <t>توثيق متوسط</t>
        </is>
      </c>
      <c r="B7" s="14">
        <f>COUNTIF('قاعدة البيانات'!$K$2:$K$2652,A7)</f>
        <v/>
      </c>
    </row>
    <row r="8" ht="15" customHeight="1" s="15">
      <c r="A8" s="18" t="inlineStr">
        <is>
          <t>قصص داخلية</t>
        </is>
      </c>
      <c r="B8" s="14">
        <f>COUNTIF('قاعدة البيانات'!$K$2:$K$2652,A8)</f>
        <v/>
      </c>
    </row>
    <row r="9" ht="15" customHeight="1" s="15">
      <c r="A9" s="18" t="inlineStr">
        <is>
          <t>فرق المشاريع</t>
        </is>
      </c>
      <c r="B9" s="14">
        <f>COUNTIF('قاعدة البيانات'!$K$2:$K$2652,A9)</f>
        <v/>
      </c>
    </row>
    <row r="10" ht="15" customHeight="1" s="15">
      <c r="A10" s="18" t="inlineStr">
        <is>
          <t>الملف الرسمي 2023</t>
        </is>
      </c>
      <c r="B10" s="14">
        <f>COUNTIF('قاعدة البيانات'!$K$2:$K$2652,A10)</f>
        <v/>
      </c>
    </row>
    <row r="11" ht="15" customHeight="1" s="15">
      <c r="A11" s="18" t="inlineStr">
        <is>
          <t>المسح العلني الموسّع — أغسطس 2026</t>
        </is>
      </c>
      <c r="B11" s="14">
        <f>COUNTIF('قاعدة البيانات'!$K$2:$K$2652,A11)</f>
        <v/>
      </c>
    </row>
    <row r="12" ht="15" customHeight="1" s="15">
      <c r="A12" s="18" t="inlineStr">
        <is>
          <t>تقرير التوظيف المبكر 2021–2026</t>
        </is>
      </c>
      <c r="B12" s="14">
        <f>COUNTIF('قاعدة البيانات'!$K$2:$K$2652,A12)</f>
        <v/>
      </c>
    </row>
    <row r="13" ht="15" customHeight="1" s="15">
      <c r="A13" s="18" t="inlineStr">
        <is>
          <t>مسح GitHub يونيو–يوليو 2026</t>
        </is>
      </c>
      <c r="B13" s="14">
        <f>COUNTIF('قاعدة البيانات'!$K$2:$K$2652,A13)</f>
        <v/>
      </c>
    </row>
    <row r="14" ht="15" customHeight="1" s="15">
      <c r="A14" s="18" t="inlineStr">
        <is>
          <t>مستنتج</t>
        </is>
      </c>
      <c r="B14" s="14">
        <f>COUNTIF('قاعدة البيانات'!$K$2:$K$2652,A14)</f>
        <v/>
      </c>
    </row>
    <row r="15" ht="15" customHeight="1" s="15">
      <c r="A15" s="18" t="inlineStr">
        <is>
          <t>قبل النطاق</t>
        </is>
      </c>
      <c r="B15" s="14">
        <f>COUNTIF('قاعدة البيانات'!$K$2:$K$2652,A15)</f>
        <v/>
      </c>
    </row>
    <row r="16" ht="15" customHeight="1" s="15">
      <c r="A16" s="18" t="inlineStr">
        <is>
          <t>برامج NVIDIA</t>
        </is>
      </c>
      <c r="B16" s="14">
        <f>COUNTIF('قاعدة البيانات'!$K$2:$K$2652,A16)</f>
        <v/>
      </c>
    </row>
    <row r="17" ht="15" customHeight="1" s="15">
      <c r="A17" s="18" t="inlineStr">
        <is>
          <t>معسكرات 2023 (القوائم الكاملة)</t>
        </is>
      </c>
      <c r="B17" s="14">
        <f>COUNTIF('قاعدة البيانات'!$K$2:$K$2652,A17)</f>
        <v/>
      </c>
    </row>
    <row r="18" ht="15" customHeight="1" s="15">
      <c r="A18" s="18" t="inlineStr">
        <is>
          <t>سجلات 2024 الرسمية</t>
        </is>
      </c>
      <c r="B18" s="14">
        <f>COUNTIF('قاعدة البيانات'!$K$2:$K$2652,A18)</f>
        <v/>
      </c>
    </row>
    <row r="19" ht="15" customHeight="1" s="15">
      <c r="A19" s="18" t="inlineStr">
        <is>
          <t>مجتازو 2026 (سجل الشهادات — اجتياز)</t>
        </is>
      </c>
      <c r="B19" s="14">
        <f>COUNTIF('قاعدة البيانات'!$K$2:$K$2652,A19)</f>
        <v/>
      </c>
    </row>
    <row r="20" ht="15" customHeight="1" s="15">
      <c r="A20" s="22" t="inlineStr">
        <is>
          <t>الإجمالي</t>
        </is>
      </c>
      <c r="B20" s="22">
        <f>SUM(B4:B19)</f>
        <v/>
      </c>
    </row>
    <row r="22" ht="15" customHeight="1" s="15">
      <c r="A22" s="18" t="inlineStr">
        <is>
          <t>سجلات بجهة عمل موثّقة</t>
        </is>
      </c>
      <c r="B22" s="14">
        <f>COUNTIF('قاعدة البيانات'!$G$2:$G$2652,"&lt;&gt;")</f>
        <v/>
      </c>
    </row>
    <row r="23" ht="15" customHeight="1" s="15">
      <c r="A23" s="18" t="inlineStr">
        <is>
          <t>ثقة مرتفعة (≥75)</t>
        </is>
      </c>
      <c r="B23" s="14">
        <f>COUNTIF('قاعدة البيانات'!$L$2:$L$2652,"&gt;=75")</f>
        <v/>
      </c>
    </row>
    <row r="24" ht="15" customHeight="1" s="15">
      <c r="A24" s="18" t="inlineStr">
        <is>
          <t>ثقة متوسطة (45–74)</t>
        </is>
      </c>
      <c r="B24" s="14">
        <f>COUNTIFS('قاعدة البيانات'!$L$2:$L$2652,"&gt;=45",'قاعدة البيانات'!$L$2:$L$2652,"&lt;75")</f>
        <v/>
      </c>
    </row>
    <row r="25" ht="15" customHeight="1" s="15">
      <c r="A25" s="18" t="inlineStr">
        <is>
          <t>ثقة منخفضة (&lt;45)</t>
        </is>
      </c>
      <c r="B25" s="14">
        <f>COUNTIF('قاعدة البيانات'!$L$2:$L$2652,"&lt;45")</f>
        <v/>
      </c>
    </row>
    <row r="27" ht="15" customHeight="1" s="15">
      <c r="A27" s="30" t="inlineStr">
        <is>
          <t>المسار المعياري (Standard Track)</t>
        </is>
      </c>
      <c r="B27" s="31" t="inlineStr">
        <is>
          <t>العدد</t>
        </is>
      </c>
    </row>
    <row r="28">
      <c r="A28" t="inlineStr">
        <is>
          <t>أكاديمية الذكاء الاصطناعي التوليدي — Gen AI Academy</t>
        </is>
      </c>
      <c r="B28">
        <f>COUNTIF('قاعدة البيانات'!$E$2:$E$2652,A28)</f>
        <v/>
      </c>
    </row>
    <row r="29">
      <c r="A29" t="inlineStr">
        <is>
          <t>مهندس ذكاء اصطناعي — AI Engineer</t>
        </is>
      </c>
      <c r="B29">
        <f>COUNTIF('قاعدة البيانات'!$E$2:$E$2652,A29)</f>
        <v/>
      </c>
    </row>
    <row r="30">
      <c r="A30" t="inlineStr">
        <is>
          <t>عالم بيانات — Data Scientist</t>
        </is>
      </c>
      <c r="B30">
        <f>COUNTIF('قاعدة البيانات'!$E$2:$E$2652,A30)</f>
        <v/>
      </c>
    </row>
    <row r="31">
      <c r="A31" t="inlineStr">
        <is>
          <t>إدارة وحوكمة البيانات — Data Management &amp; Governance</t>
        </is>
      </c>
      <c r="B31">
        <f>COUNTIF('قاعدة البيانات'!$E$2:$E$2652,A31)</f>
        <v/>
      </c>
    </row>
    <row r="32">
      <c r="A32" t="inlineStr">
        <is>
          <t>برامج متخصصة أخرى — Other / Specialized</t>
        </is>
      </c>
      <c r="B32">
        <f>COUNTIF('قاعدة البيانات'!$E$2:$E$2652,A32)</f>
        <v/>
      </c>
    </row>
    <row r="33">
      <c r="A33" s="32" t="inlineStr">
        <is>
          <t>الإجمالي</t>
        </is>
      </c>
      <c r="B33" s="32">
        <f>SUM(B28:B32)</f>
        <v/>
      </c>
    </row>
    <row r="35">
      <c r="A35"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9"/>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2,651 سجلًا (إصدار 16 أغسطس 2026 — بعد إعادة الهيكلة وتوحيد المسارات)</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(2,651).</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2026-08-16T14:01:16Z</dcterms:modified>
  <cp:revision>0</cp:revision>
</cp:coreProperties>
</file>