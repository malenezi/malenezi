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riority Queue" sheetId="2" state="visible" r:id="rId4"/>
    <sheet name="Weights" sheetId="3" state="visible" r:id="rId5"/>
    <sheet name="Scoring" sheetId="4" state="visible" r:id="rId6"/>
    <sheet name="Summary" sheetId="5" state="visible" r:id="rId7"/>
  </sheets>
  <definedNames>
    <definedName function="false" hidden="true" localSheetId="3" name="_xlnm._FilterDatabase" vbProcedure="false">Scoring!$A$4:$AH$172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4" authorId="0">
      <text>
        <r>
          <rPr>
            <sz val="10"/>
            <rFont val="Arial"/>
            <family val="2"/>
          </rPr>
          <t xml:space="preserve">Editorial adjustment in score points (−10 to +10). Use for slate balance, e.g. employer caps. Default 0.</t>
        </r>
      </text>
    </comment>
    <comment ref="U4" authorId="0">
      <text>
        <r>
          <rPr>
            <sz val="10"/>
            <rFont val="Arial"/>
            <family val="2"/>
          </rPr>
          <t xml:space="preserve">Yes removes the story from ranking. Pre-set Yes for legacy gap-flagged stories and undisclosed employers.</t>
        </r>
      </text>
    </comment>
    <comment ref="AF4" authorId="0">
      <text>
        <r>
          <rPr>
            <sz val="10"/>
            <rFont val="Arial"/>
            <family val="2"/>
          </rPr>
          <t xml:space="preserve">Yes adds the story to the Priority Queue even if it is outside the Top 30 by score. Pre-set Yes for the 38 names added on 7 Oct 2026.</t>
        </r>
      </text>
    </comment>
  </commentList>
</comments>
</file>

<file path=xl/sharedStrings.xml><?xml version="1.0" encoding="utf-8"?>
<sst xmlns="http://schemas.openxmlformats.org/spreadsheetml/2006/main" count="2283" uniqueCount="1237">
  <si>
    <t xml:space="preserve">SDAIA Academy — Success Story Publication Prioritization Framework</t>
  </si>
  <si>
    <t xml:space="preserve">Scores and ranks all 168 validated success stories to decide which are published first · data as of 7 Oct 2026 (SuccessStories/website/js/data.js)</t>
  </si>
  <si>
    <t xml:space="preserve">How to use</t>
  </si>
  <si>
    <t xml:space="preserve">1</t>
  </si>
  <si>
    <t xml:space="preserve">Adjust the criterion weights on the Weights sheet (yellow cells). Scores, ranks, tiers and the Top 30 update automatically.</t>
  </si>
  <si>
    <t xml:space="preserve">2</t>
  </si>
  <si>
    <t xml:space="preserve">Override any criterion score (0–5) on the Scoring sheet if you disagree with the assessment. Blue values are editable inputs.</t>
  </si>
  <si>
    <t xml:space="preserve">3</t>
  </si>
  <si>
    <t xml:space="preserve">Use the Editorial Adj. column (−10 to +10 points) to lift or lower a story for slate balance, e.g. to cap stories from one employer.</t>
  </si>
  <si>
    <t xml:space="preserve">4</t>
  </si>
  <si>
    <t xml:space="preserve">Set Hold Flag to "Yes" to remove a story from the ranking until its issue is resolved; it moves to "Hold – resolve flag".</t>
  </si>
  <si>
    <t xml:space="preserve">5</t>
  </si>
  <si>
    <t xml:space="preserve">Read the Top 30 sheet for the publication queue and the Pre-publication Actions column for what each story needs before going live.</t>
  </si>
  <si>
    <t xml:space="preserve">6</t>
  </si>
  <si>
    <t xml:space="preserve">Set Added to Queue to "Yes" on the Scoring sheet to put a story in the Priority Queue regardless of its rank; it is tiered at least Tier 2 – Priority.</t>
  </si>
  <si>
    <t xml:space="preserve">Colour legend</t>
  </si>
  <si>
    <t xml:space="preserve">Blue text, yellow fill</t>
  </si>
  <si>
    <t xml:space="preserve">Editable input (weights, criterion scores, adjustments, hold flags, tier cut-offs)</t>
  </si>
  <si>
    <t xml:space="preserve">Black text</t>
  </si>
  <si>
    <t xml:space="preserve">Formula — do not overwrite</t>
  </si>
  <si>
    <t xml:space="preserve">Green text</t>
  </si>
  <si>
    <t xml:space="preserve">Link pulled from another sheet</t>
  </si>
  <si>
    <t xml:space="preserve">Publishing tiers</t>
  </si>
  <si>
    <t xml:space="preserve">Tier 1 – Flagship launch</t>
  </si>
  <si>
    <t xml:space="preserve">Ranks 1–10. Lead the launch; homepage, press and executive reporting.</t>
  </si>
  <si>
    <t xml:space="preserve">Tier 2 – Priority</t>
  </si>
  <si>
    <t xml:space="preserve">Ranks 11–30, plus any story added to the queue by hand (Added to Queue = Yes). Publish in the following fortnightly batches; social media features.</t>
  </si>
  <si>
    <t xml:space="preserve">Tier 3 – Standard rotation</t>
  </si>
  <si>
    <t xml:space="preserve">Ranks 31–80. Rolling publication on the Success Stories page.</t>
  </si>
  <si>
    <t xml:space="preserve">Tier 4 – Reserve</t>
  </si>
  <si>
    <t xml:space="preserve">Rank 81 and below. Published in the catalogue; not featured.</t>
  </si>
  <si>
    <t xml:space="preserve">Hold – resolve flag</t>
  </si>
  <si>
    <t xml:space="preserve">Legacy gap-flagged stories (authorized exception) and stories with an undisclosed employer. Not featured until resolved.</t>
  </si>
  <si>
    <t xml:space="preserve">Method notes</t>
  </si>
  <si>
    <t xml:space="preserve">Score</t>
  </si>
  <si>
    <t xml:space="preserve">Priority Score = Σ(criterion score × weight) ÷ Σ weights ÷ 5 × 100, plus editorial adjustment, bounded 0–100.</t>
  </si>
  <si>
    <t xml:space="preserve">Rank</t>
  </si>
  <si>
    <t xml:space="preserve">Eligible stories rank first, by score; ties break by sheet order. Held stories rank after all eligible ones.</t>
  </si>
  <si>
    <t xml:space="preserve">Time since training</t>
  </si>
  <si>
    <t xml:space="preserve">Interpreted as the months from programme completion to the outcome (shorter scores higher). Cohort recency is scored under Strategic relevance.</t>
  </si>
  <si>
    <t xml:space="preserve">Initial scores</t>
  </si>
  <si>
    <t xml:space="preserve">Criterion scores were assessed from each story record (role, employer, dates, links, achievements, photo, quote status) using the rubrics on the Weights sheet.</t>
  </si>
  <si>
    <t xml:space="preserve">Rationale</t>
  </si>
  <si>
    <t xml:space="preserve">The Rationale text is written from the default weights; it does not rewrite itself when weights change.</t>
  </si>
  <si>
    <t xml:space="preserve">Added names (7 Oct)</t>
  </si>
  <si>
    <t xml:space="preserve">38 names were added to the queue; all 38 already existed among the 168 stories (no new or duplicate records), and 8 were already in the Top 30. They are flagged Added to Queue = Yes rather than duplicated.</t>
  </si>
  <si>
    <t xml:space="preserve">Eligibility basis</t>
  </si>
  <si>
    <t xml:space="preserve">SDAIA Success Story Policy v1.0 (14-month criterion). All 168 stories are already validated; this framework only orders them.</t>
  </si>
  <si>
    <t xml:space="preserve">Priority Queue — Top 30 by score + stories added to the queue</t>
  </si>
  <si>
    <t xml:space="preserve">Live from the Scoring sheet, ordered by priority score. Held stories sit at the end. Set "Added to Queue" on the Scoring sheet to add or remove a story.</t>
  </si>
  <si>
    <t xml:space="preserve">Stories in queue:</t>
  </si>
  <si>
    <t xml:space="preserve">Queue #</t>
  </si>
  <si>
    <t xml:space="preserve">Overall Rank</t>
  </si>
  <si>
    <t xml:space="preserve">Source</t>
  </si>
  <si>
    <t xml:space="preserve">Story ID</t>
  </si>
  <si>
    <t xml:space="preserve">Name (AR)</t>
  </si>
  <si>
    <t xml:space="preserve">Name (EN)</t>
  </si>
  <si>
    <t xml:space="preserve">Employer</t>
  </si>
  <si>
    <t xml:space="preserve">Track</t>
  </si>
  <si>
    <t xml:space="preserve">Cohort</t>
  </si>
  <si>
    <t xml:space="preserve">Months to Outcome</t>
  </si>
  <si>
    <t xml:space="preserve">Priority Score</t>
  </si>
  <si>
    <t xml:space="preserve">Publishing Tier</t>
  </si>
  <si>
    <t xml:space="preserve">Pre-publication Actions</t>
  </si>
  <si>
    <t xml:space="preserve">Quote Status</t>
  </si>
  <si>
    <t xml:space="preserve">Criteria, Weights and Scoring Rubrics</t>
  </si>
  <si>
    <t xml:space="preserve">Edit the yellow cells. Weights should total 100%; scores are normalised by the total in any case.</t>
  </si>
  <si>
    <t xml:space="preserve">#</t>
  </si>
  <si>
    <t xml:space="preserve">Criterion</t>
  </si>
  <si>
    <t xml:space="preserve">Weight</t>
  </si>
  <si>
    <t xml:space="preserve">What it measures</t>
  </si>
  <si>
    <t xml:space="preserve">Scoring rubric (0–5)</t>
  </si>
  <si>
    <t xml:space="preserve">Specialization</t>
  </si>
  <si>
    <t xml:space="preserve">Relevance of the post-training role to AI and data</t>
  </si>
  <si>
    <t xml:space="preserve">5 AI/ML/data-science role · 4 data, analytics, cloud or security role · 2 adjacent role</t>
  </si>
  <si>
    <t xml:space="preserve">Employer / company profile</t>
  </si>
  <si>
    <t xml:space="preserve">Recognition and weight of the employer</t>
  </si>
  <si>
    <t xml:space="preserve">5 flagship national or global entity (PIF, Aramco, NEOM, HUMAIN, KFSHRC, ministries, Elm, SABIC) · 4 major government body, bank or large firm · 3 SDAIA (host employer) · 2 SME or other · 0 undisclosed</t>
  </si>
  <si>
    <t xml:space="preserve">Months from programme completion to the outcome</t>
  </si>
  <si>
    <t xml:space="preserve">5 ≤2 months · 4 ≤4 · 3 ≤7 · 2 ≤10 or undated · 1 ≤14 · 2 same month as completion</t>
  </si>
  <si>
    <t xml:space="preserve">Employment after training</t>
  </si>
  <si>
    <t xml:space="preserve">Whether the outcome is a dated hire</t>
  </si>
  <si>
    <t xml:space="preserve">5 new employer · 4 hired by SDAIA · 3 internal move · −1 if hired in the completion month · 0–2 no employment outcome</t>
  </si>
  <si>
    <t xml:space="preserve">Promotion</t>
  </si>
  <si>
    <t xml:space="preserve">Promotion or progression after the first outcome</t>
  </si>
  <si>
    <t xml:space="preserve">5 promoted into a senior/lead title · 4 promotion or progression · 3 senior title on entry · 0 none</t>
  </si>
  <si>
    <t xml:space="preserve">Career transition</t>
  </si>
  <si>
    <t xml:space="preserve">A clear change of field or role type</t>
  </si>
  <si>
    <t xml:space="preserve">5 career switch, learner→trainer, practice→lecturing · 3 move from a prior job to a new data/AI role · 0 none</t>
  </si>
  <si>
    <t xml:space="preserve">Measurable impact</t>
  </si>
  <si>
    <t xml:space="preserve">A quantified or independently judged result</t>
  </si>
  <si>
    <t xml:space="preserve">5 first place, official benchmark score, peer-reviewed paper · 4 award, placement or quantified result (%, trainees, stars) · 3 senior scope · 2 standard hire · 1 vague</t>
  </si>
  <si>
    <t xml:space="preserve">Achievements</t>
  </si>
  <si>
    <t xml:space="preserve">Breadth of listed achievements, awards, research and certifications</t>
  </si>
  <si>
    <t xml:space="preserve">0.75 per listed achievement (max 4) · +2 award or research · +0.5 certification; capped at 5</t>
  </si>
  <si>
    <t xml:space="preserve">Story completeness</t>
  </si>
  <si>
    <t xml:space="preserve">Readiness of the card: photo, logo, achievements, story text, English name</t>
  </si>
  <si>
    <t xml:space="preserve">2 real photo (1 avatar/low-res) · 0.75 logo · up to 1 achievements · up to 1 story length · 0.25 English name</t>
  </si>
  <si>
    <t xml:space="preserve">Evidence quality</t>
  </si>
  <si>
    <t xml:space="preserve">How checkable the claim is</t>
  </si>
  <si>
    <t xml:space="preserve">2 month-level or publication dating · 1 LinkedIn profile · 0.75 per independent source (ACL, MDPI, Codabench, SPA, official page) · +0.5 provenance · +0.5 cleared quote · −1.5 gap flag · −0.5 same-month hire</t>
  </si>
  <si>
    <t xml:space="preserve">Strategic relevance</t>
  </si>
  <si>
    <t xml:space="preserve">Fit with what the Academy most needs to show now</t>
  </si>
  <si>
    <t xml:space="preserve">Track priority (5 GenAI/LLM/Agents/Applied AI · 4 ML, data eng, cloud, cyber · 3 data science, data management, ServiceNow) +1 cohort 2025–26 · −1 cohort 2021 · +1 first story in a track or distinctive angle · −1 SDAIA host hire</t>
  </si>
  <si>
    <t xml:space="preserve">Total</t>
  </si>
  <si>
    <t xml:space="preserve">Tier cut-offs (last rank in tier)</t>
  </si>
  <si>
    <t xml:space="preserve">Assumption: cut-offs set to match the requested Top 30, with the first 10 as a launch wave.</t>
  </si>
  <si>
    <t xml:space="preserve">Story Scoring Matrix — all 168 stories</t>
  </si>
  <si>
    <t xml:space="preserve">Criterion scores 0–5 (blue = editable). Priority Score, Rank and Tier are formulas.</t>
  </si>
  <si>
    <t xml:space="preserve">Weight →</t>
  </si>
  <si>
    <t xml:space="preserve">Role</t>
  </si>
  <si>
    <t xml:space="preserve">Editorial Adj. (pts)</t>
  </si>
  <si>
    <t xml:space="preserve">Hold Flag</t>
  </si>
  <si>
    <t xml:space="preserve">Hold Reason</t>
  </si>
  <si>
    <t xml:space="preserve">Eligible</t>
  </si>
  <si>
    <t xml:space="preserve">Rank Key</t>
  </si>
  <si>
    <t xml:space="preserve">Key Outcome (story record)</t>
  </si>
  <si>
    <t xml:space="preserve">Added to Queue</t>
  </si>
  <si>
    <t xml:space="preserve">Queue Key</t>
  </si>
  <si>
    <t xml:space="preserve">Queue Rank</t>
  </si>
  <si>
    <t xml:space="preserve">abdulaziz-althumairy</t>
  </si>
  <si>
    <t xml:space="preserve">عبدالعزيز الثميري</t>
  </si>
  <si>
    <t xml:space="preserve">Abdulaziz Al-Thumairy</t>
  </si>
  <si>
    <t xml:space="preserve">صندوق الاستثمارات العامة (PIF)</t>
  </si>
  <si>
    <t xml:space="preserve">محلل أداء الاستثمارات — الشرق الأوسط وشمال أفريقيا</t>
  </si>
  <si>
    <t xml:space="preserve">GenAI / NVIDIA</t>
  </si>
  <si>
    <t xml:space="preserve">No</t>
  </si>
  <si>
    <t xml:space="preserve">Strengths: Employer / company profile 5/5, Employment after training 5/5, Time since training 5/5. GenAI / NVIDIA track, cohort 2024; 2 months to outcome. Weak on: Promotion.</t>
  </si>
  <si>
    <t xml:space="preserve">الالتحاق بصندوق الاستثمارات العامة عبر برنامج الخريجين GDP في نوفمبر 2024 — بعد شهرين اثنين من إتمام البرنامج — ثم الانتقال إلى محلل أداء الاستثمارات للشرق الأوسط وشمال أفريقيا في ديسمبر 2025.</t>
  </si>
  <si>
    <t xml:space="preserve">Clear draft quote with graduate</t>
  </si>
  <si>
    <t xml:space="preserve">Draft</t>
  </si>
  <si>
    <t xml:space="preserve">Yes</t>
  </si>
  <si>
    <t xml:space="preserve">noura-alfouzan</t>
  </si>
  <si>
    <t xml:space="preserve">نورة الفوزان</t>
  </si>
  <si>
    <t xml:space="preserve">Noura Alfouzan</t>
  </si>
  <si>
    <t xml:space="preserve">المؤسسة العامة للمياه (Saudi Water Authority)</t>
  </si>
  <si>
    <t xml:space="preserve">محللة بيانات أولى</t>
  </si>
  <si>
    <t xml:space="preserve">Advanced AI Pathways</t>
  </si>
  <si>
    <t xml:space="preserve">n/a</t>
  </si>
  <si>
    <t xml:space="preserve">Strengths: Employment after training 5/5, Measurable impact 4/5, Strategic relevance 5/5. Advanced AI Pathways track, cohort 2024; timing dated by year only.</t>
  </si>
  <si>
    <t xml:space="preserve">إنجازان داخل النافذة: مدرّبة الذكاء الاصطناعي والطائرات المسيّرة في أكاديمية طويق من أبريل 2025 (خمس دورات لأكثر من 100 متدرب)، ثم الالتحاق بالمؤسسة العامة للمياه محللةَ بيانات أولى في نوفمبر 2025.</t>
  </si>
  <si>
    <t xml:space="preserve">osama-alfawzan</t>
  </si>
  <si>
    <t xml:space="preserve">أسامة عبدالرحمن الفوزان</t>
  </si>
  <si>
    <t xml:space="preserve">Osama Alfawzan</t>
  </si>
  <si>
    <t xml:space="preserve">سدايا</t>
  </si>
  <si>
    <t xml:space="preserve">مسؤول قواعد بيانات</t>
  </si>
  <si>
    <t xml:space="preserve">Machine Learning</t>
  </si>
  <si>
    <t xml:space="preserve">Strengths: Employment after training 4/5, Story completeness 4.2/5, Specialization 4/5. Machine Learning track, cohort 2024; 11 months to outcome. Weak on: Time since training.</t>
  </si>
  <si>
    <t xml:space="preserve">الالتحاق بسدايا مسؤولَ قواعد بيانات في يناير 2025 — بعد نحو أحد عشر شهرًا من المعسكر، وداخل النافذة حتى لو قُرئ تاريخ الإتمام عند أشدّه (يناير 2024).</t>
  </si>
  <si>
    <t xml:space="preserve">nisreen-alsayegh</t>
  </si>
  <si>
    <t xml:space="preserve">نسرين الصايغ</t>
  </si>
  <si>
    <t xml:space="preserve">Nisreen Alsayegh</t>
  </si>
  <si>
    <t xml:space="preserve">عالمة بيانات — التحقت بسدايا في سنة الشهادة نفسها (2021)</t>
  </si>
  <si>
    <t xml:space="preserve">Data Science &amp; AI (T5)</t>
  </si>
  <si>
    <t xml:space="preserve">Strengths: Specialization 5/5, Employment after training 4/5, Story completeness 4.6/5. Data Science &amp; AI (T5) track, cohort 2021; timing dated by year only. Weak on: Promotion, Career transition.</t>
  </si>
  <si>
    <t xml:space="preserve">شهادة معسكر T5 في 2021 وتوظيف داخل سدايا في السنة نفسها — ثم مسار لاحق إلى شركة مزن عالمةً مشاركةً للبيانات.</t>
  </si>
  <si>
    <t xml:space="preserve">Clear draft quote with graduate; Confirm month-level date</t>
  </si>
  <si>
    <t xml:space="preserve">meshal-alamr</t>
  </si>
  <si>
    <t xml:space="preserve">مشعل العمر</t>
  </si>
  <si>
    <t xml:space="preserve">Meshal Alamr</t>
  </si>
  <si>
    <t xml:space="preserve">جهة حكومية</t>
  </si>
  <si>
    <t xml:space="preserve">مهندس ذكاء اصطناعي رئيسي (Lead AI Engineer)</t>
  </si>
  <si>
    <t xml:space="preserve">Employer undisclosed</t>
  </si>
  <si>
    <t xml:space="preserve">Strengths: Specialization 5/5, Measurable impact 4/5, Story completeness 4.2/5. Data Science &amp; AI (T5) track, cohort 2021; timing dated by year only. Weak on: Employer / company profile, Employment after training. Held: Employer undisclosed.</t>
  </si>
  <si>
    <t xml:space="preserve">صاحب أعلى مستودع تفاعلًا بين مستودعات معسكرات الأكاديمية كلها على GitHub — 54 نجمة و24 تفريعة، والثاني بعده 13 نجمة فقط.</t>
  </si>
  <si>
    <t xml:space="preserve">sara-alabdulsalam</t>
  </si>
  <si>
    <t xml:space="preserve">سارة العبدالسلام</t>
  </si>
  <si>
    <t xml:space="preserve">Sara Al Abdulsalam</t>
  </si>
  <si>
    <t xml:space="preserve">مهندسة أبحاث بدوام كامل — ثم مطوّرة تطبيقات في channels by stc</t>
  </si>
  <si>
    <t xml:space="preserve">Strengths: Specialization 5/5, Employment after training 4/5. Data Science &amp; AI (T5) track, cohort 2021; timing dated by year only. Weak on: Promotion, Career transition.</t>
  </si>
  <si>
    <t xml:space="preserve">التحاق بقطاع البحث والتطوير في سدايا مهندسةَ أبحاث بدوام كامل في نوفمبر 2021 — داخل نافذة الأربعة عشر شهرًا حتى بأشد قراءات تاريخ الإتمام.</t>
  </si>
  <si>
    <t xml:space="preserve">maram-alfaifi</t>
  </si>
  <si>
    <t xml:space="preserve">مرام الفيفي</t>
  </si>
  <si>
    <t xml:space="preserve">Maram Alfaifi</t>
  </si>
  <si>
    <t xml:space="preserve">شركة TAM للتطوير</t>
  </si>
  <si>
    <t xml:space="preserve">مهندسة برمجيات — Engineer II ثم مواقع أعلى</t>
  </si>
  <si>
    <t xml:space="preserve">Strengths: Employment after training 5/5, Employer / company profile 4/5, Time since training 5/5. Data Science &amp; AI (T5) track, cohort 2022; 2 months to outcome. Weak on: Career transition.</t>
  </si>
  <si>
    <t xml:space="preserve">من المشروع النهائي في المعسكر إلى وظيفة Engineer II في TAM خلال نحو شهرين — أقوى حالة توظيف موثّقة علنيًا في دفعة 2022.</t>
  </si>
  <si>
    <t xml:space="preserve">Clear draft quote with graduate; Replace GitHub avatar with real photo</t>
  </si>
  <si>
    <t xml:space="preserve">maha-alhazzani</t>
  </si>
  <si>
    <t xml:space="preserve">مها الحزاني</t>
  </si>
  <si>
    <t xml:space="preserve">Maha AlHazzani</t>
  </si>
  <si>
    <t xml:space="preserve">عالمة بيانات ومحللة (Data Scientist &amp; Analyst)</t>
  </si>
  <si>
    <t xml:space="preserve">AI Summer Champions</t>
  </si>
  <si>
    <t xml:space="preserve">Strengths: Specialization 5/5, Employment after training 4/5, Story completeness 4.3/5. AI Summer Champions track, cohort 2022; timing dated by year only. Weak on: Promotion, Career transition.</t>
  </si>
  <si>
    <t xml:space="preserve">من متدربة في «أبطال صيف الذكاء الاصطناعي» إلى وظيفة دائمة في سدايا — كل ذلك خلال عام 2022.</t>
  </si>
  <si>
    <t xml:space="preserve">soaad-aljafr</t>
  </si>
  <si>
    <t xml:space="preserve">سعاد الجعفر</t>
  </si>
  <si>
    <t xml:space="preserve">Soaad Aljafr</t>
  </si>
  <si>
    <t xml:space="preserve">وزارة الصحة</t>
  </si>
  <si>
    <t xml:space="preserve">عالمة بيانات (Data Scientist)</t>
  </si>
  <si>
    <t xml:space="preserve">Strengths: Employer / company profile 5/5, Employment after training 5/5, Specialization 5/5. Data Science &amp; AI (T5) track, cohort 2022; timing dated by year only. Weak on: Promotion, Career transition.</t>
  </si>
  <si>
    <t xml:space="preserve">انتقال مباشر من معسكر T5 إلى وظيفة علوم بيانات في وزارة الصحة في السنة نفسها.</t>
  </si>
  <si>
    <t xml:space="preserve">Clear draft quote with graduate; Replace GitHub avatar with real photo; Confirm month-level date</t>
  </si>
  <si>
    <t xml:space="preserve">taghreed-albaiz</t>
  </si>
  <si>
    <t xml:space="preserve">تغريد البعيز</t>
  </si>
  <si>
    <t xml:space="preserve">Taghreed Albaiz</t>
  </si>
  <si>
    <t xml:space="preserve">تمكين للتقنيات</t>
  </si>
  <si>
    <t xml:space="preserve">محللة أمن شبكات — ثم مهندسة أمن سحابي أولى (Senior Cloud Security Engineer)</t>
  </si>
  <si>
    <t xml:space="preserve">Strengths: Employment after training 5/5, Employer / company profile 4/5, Promotion 5/5. Data Science &amp; AI (T5) track, cohort 2022; timing dated by year only. Weak on: Career transition, Evidence quality.</t>
  </si>
  <si>
    <t xml:space="preserve">التحاق بتمكين للتقنيات في سنة إتمام المعسكر نفسها (2022) — ثم تدرّج موثّق إلى هندسة الأمن السحابي الأولى.</t>
  </si>
  <si>
    <t xml:space="preserve">areej-alshammari</t>
  </si>
  <si>
    <t xml:space="preserve">أريج الشمري</t>
  </si>
  <si>
    <t xml:space="preserve">Areej Alshammari</t>
  </si>
  <si>
    <t xml:space="preserve">مهندسة ذكاء اصطناعي</t>
  </si>
  <si>
    <t xml:space="preserve">Fresh Graduate Bootcamp</t>
  </si>
  <si>
    <t xml:space="preserve">Strengths: Specialization 5/5, Employment after training 4/5, Story completeness 4/5. Fresh Graduate Bootcamp track, cohort 2023; timing dated by year only. Weak on: Promotion, Career transition.</t>
  </si>
  <si>
    <t xml:space="preserve">ثلاثية مكتملة في سنة واحدة: بكالوريوس، ومعسكر، وتوظيف مهندسةً للذكاء الاصطناعي في سدايا نفسها — كله في 2023.</t>
  </si>
  <si>
    <t xml:space="preserve">abdulrahman-alqannas</t>
  </si>
  <si>
    <t xml:space="preserve">عبدالرحمن القناص</t>
  </si>
  <si>
    <t xml:space="preserve">Abdulrahman Alqannas</t>
  </si>
  <si>
    <t xml:space="preserve">شركة علم</t>
  </si>
  <si>
    <t xml:space="preserve">قائد الذكاء الاصطناعي (Artificial Intelligence Lead)</t>
  </si>
  <si>
    <t xml:space="preserve">LLM</t>
  </si>
  <si>
    <t xml:space="preserve">Strengths: Evidence quality 4.2/5, Employer / company profile 5/5, Employment after training 5/5. LLM track, cohort 2023; 11 months to outcome. Weak on: Time since training, Career transition.</t>
  </si>
  <si>
    <t xml:space="preserve">ترقية إلى «قائد الذكاء الاصطناعي» في شركة علم في نوفمبر 2024 — بعد أحد عشر شهرًا من نيله شهادة ممارس النماذج اللغوية الكبيرة.</t>
  </si>
  <si>
    <t xml:space="preserve">Ready</t>
  </si>
  <si>
    <t xml:space="preserve">Verified</t>
  </si>
  <si>
    <t xml:space="preserve">asma-alzahrani</t>
  </si>
  <si>
    <t xml:space="preserve">أسماء الزهراني</t>
  </si>
  <si>
    <t xml:space="preserve">Asma Alzahrani</t>
  </si>
  <si>
    <t xml:space="preserve">من التدريب التعاوني إلى وظيفة في سدايا</t>
  </si>
  <si>
    <t xml:space="preserve">Strengths: Measurable impact 5/5, Employment after training 4/5, Achievements 4.2/5. LLM track, cohort 2023; timing dated by year only. Weak on: Promotion, Career transition.</t>
  </si>
  <si>
    <t xml:space="preserve">«بـ2023 التدريب التعاوني في سدايا، وفي 2024 صرت موظفة فيها» — الدائرة تكتمل بمنشورها العلني.</t>
  </si>
  <si>
    <t xml:space="preserve">Clear draft quote with graduate; Replace low-res photo; Confirm month-level date</t>
  </si>
  <si>
    <t xml:space="preserve">hamad-alyemni</t>
  </si>
  <si>
    <t xml:space="preserve">حمد اليمني</t>
  </si>
  <si>
    <t xml:space="preserve">Hamad Alyemni</t>
  </si>
  <si>
    <t xml:space="preserve">جامعة الإمام عبدالرحمن بن فيصل</t>
  </si>
  <si>
    <t xml:space="preserve">مهندس تطبيقات — أول توظيف في سنة المعسكر نفسها، ثم مهندس ذكاء اصطناعي</t>
  </si>
  <si>
    <t xml:space="preserve">Strengths: Employment after training 5/5, Employer / company profile 4/5, Specialization 5/5. Data Science &amp; AI (T5) track, cohort 2023; timing dated by year only. Weak on: Career transition.</t>
  </si>
  <si>
    <t xml:space="preserve">أول توظيف مهندسَ تطبيقات في سنة المعسكر نفسها (2023) — ومشروع تخرج طبي مفتوح المصدر بخمسة نماذج تعلم آلي.</t>
  </si>
  <si>
    <t xml:space="preserve">hessa-alrasheed</t>
  </si>
  <si>
    <t xml:space="preserve">حصة الرشيد</t>
  </si>
  <si>
    <t xml:space="preserve">Hessa AlRasheed</t>
  </si>
  <si>
    <t xml:space="preserve">مجموعة ريناد المجد لتقنية المعلومات RMG</t>
  </si>
  <si>
    <t xml:space="preserve">محللة بيانات (Data Analyst)</t>
  </si>
  <si>
    <t xml:space="preserve">Strengths: Employment after training 5/5, Time since training 5/5, Specialization 4/5. Data Science &amp; AI (T5) track, cohort 2023; 2 months to outcome. Weak on: Promotion, Career transition.</t>
  </si>
  <si>
    <t xml:space="preserve">شهران فقط بين إتمام المعسكر في ديسمبر 2023 والالتحاق بوظيفة محللة بيانات في فبراير 2024.</t>
  </si>
  <si>
    <t xml:space="preserve">raghad-alqobali</t>
  </si>
  <si>
    <t xml:space="preserve">رغد القبالي</t>
  </si>
  <si>
    <t xml:space="preserve">Raghad Alqobali</t>
  </si>
  <si>
    <t xml:space="preserve">باحثة ومهندسة ذكاء اصطناعي</t>
  </si>
  <si>
    <t xml:space="preserve">Strengths: Evidence quality 4.8/5, Measurable impact 5/5, Specialization 5/5. LLM track, cohort 2023; timing dated by year only. Weak on: Promotion, Career transition.</t>
  </si>
  <si>
    <t xml:space="preserve">ورقتان محكّمتان بصفتها مؤلفة أولى، وبينهما معسكر الأكاديمية — وانتساب الورقة الثانية مطبوع باسم «الهيئة السعودية للبيانات والذكاء الاصطناعي».</t>
  </si>
  <si>
    <t xml:space="preserve">jawaher-albaqami</t>
  </si>
  <si>
    <t xml:space="preserve">جواهر البقمي</t>
  </si>
  <si>
    <t xml:space="preserve">Jawaher Albaqami</t>
  </si>
  <si>
    <t xml:space="preserve">المركز الوطني للذكاء الاصطناعي (NCAI)</t>
  </si>
  <si>
    <t xml:space="preserve">مهندسة بيانات (Data Engineer)</t>
  </si>
  <si>
    <t xml:space="preserve">Strengths: Employer / company profile 5/5, Employment after training 5/5, Specialization 4/5. Data Science &amp; AI (T5) track, cohort 2023; 3 months to outcome. Weak on: Promotion, Career transition.</t>
  </si>
  <si>
    <t xml:space="preserve">التحاق بالمركز الوطني للذكاء الاصطناعي مهندسةً للبيانات في مارس 2024 — ثلاثة أشهر بعد إتمام معسكر T5.</t>
  </si>
  <si>
    <t xml:space="preserve">nasser-alsaqer</t>
  </si>
  <si>
    <t xml:space="preserve">ناصر الصقر</t>
  </si>
  <si>
    <t xml:space="preserve">Nasser Alsaqer</t>
  </si>
  <si>
    <t xml:space="preserve">الهيئة العامة للإحصاء GASTAT</t>
  </si>
  <si>
    <t xml:space="preserve">إحصائي (Statistician)</t>
  </si>
  <si>
    <t xml:space="preserve">Strengths: Employer / company profile 5/5, Employment after training 5/5. Data Science &amp; AI (T5) track, cohort 2024; timing dated by year only. Weak on: Promotion, Career transition.</t>
  </si>
  <si>
    <t xml:space="preserve">قائد فريق مشروع التخرج RASYD — والتحق بالهيئة العامة للإحصاء في سنة المعسكر نفسها.</t>
  </si>
  <si>
    <t xml:space="preserve">maha-alshehri</t>
  </si>
  <si>
    <t xml:space="preserve">مها الشهري</t>
  </si>
  <si>
    <t xml:space="preserve">Maha Alshehri</t>
  </si>
  <si>
    <t xml:space="preserve">مطوّرة برمجيات</t>
  </si>
  <si>
    <t xml:space="preserve">Data Management</t>
  </si>
  <si>
    <t xml:space="preserve">Strengths: Employment after training 4/5, Story completeness 4/5. Data Management track, cohort 2024; timing dated by year only. Weak on: Promotion, Career transition.</t>
  </si>
  <si>
    <t xml:space="preserve">من معسكر حوكمة البيانات إلى تطوير البرمجيات داخل سدايا — في سنة المعسكر نفسها.</t>
  </si>
  <si>
    <t xml:space="preserve">hajar-alshehri</t>
  </si>
  <si>
    <t xml:space="preserve">هاجر الشهري</t>
  </si>
  <si>
    <t xml:space="preserve">Hajar Alshehri</t>
  </si>
  <si>
    <t xml:space="preserve">Academy training</t>
  </si>
  <si>
    <t xml:space="preserve">Strengths: Specialization 5/5, Employment after training 4/5, Story completeness 4/5. Academy training track, cohort 2024; timing dated by year only. Weak on: Promotion, Career transition.</t>
  </si>
  <si>
    <t xml:space="preserve">من التدريب إلى التوظيف داخل سدايا في السنة نفسها — الدائرة تكتمل مرة أخرى.</t>
  </si>
  <si>
    <t xml:space="preserve">khalid-alduwaysan</t>
  </si>
  <si>
    <t xml:space="preserve">خالد الدويسان</t>
  </si>
  <si>
    <t xml:space="preserve">Khalid Alduwaysan</t>
  </si>
  <si>
    <t xml:space="preserve">أكاديمية الملك سلمان العالمية للغة العربية</t>
  </si>
  <si>
    <t xml:space="preserve">مطوّر ذكاء اصطناعي ثم مهندس بيانات في جهة حكومية</t>
  </si>
  <si>
    <t xml:space="preserve">Strengths: Employment after training 5/5, Employer / company profile 4/5, Specialization 5/5. Data Science &amp; AI (T5) track, cohort 2024; 3 months to outcome. Weak on: Promotion, Career transition.</t>
  </si>
  <si>
    <t xml:space="preserve">من التخرج إلى وظيفة «مطوّر ذكاء اصطناعي» خلال نحو ثلاثة أشهر موثّقة بالتواريخ — أقوى حالة في القاعدة كلها.</t>
  </si>
  <si>
    <t xml:space="preserve">rana-alharsan</t>
  </si>
  <si>
    <t xml:space="preserve">رنا الحرصان</t>
  </si>
  <si>
    <t xml:space="preserve">Rana al-Harsan</t>
  </si>
  <si>
    <t xml:space="preserve">فضاء أجا لتقنية المعلومات</t>
  </si>
  <si>
    <t xml:space="preserve">مشروع «رَكَّن» — ضمن أفضل المشاريع من بين 50</t>
  </si>
  <si>
    <t xml:space="preserve">Strengths: Employment after training 5/5, Achievements 4.2/5, Story completeness 4/5. Data Science &amp; AI (T5) track, cohort 2024; timing dated by year only. Weak on: Promotion, Career transition.</t>
  </si>
  <si>
    <t xml:space="preserve">ضمن دفعة الـ194 التي خرّجتها سدايا رسميًا بتوثيق واس، ومشروعها «رَكَّن» عُرض في حفل التخرج ضمن الأفضل.</t>
  </si>
  <si>
    <t xml:space="preserve">majd-alotaibi</t>
  </si>
  <si>
    <t xml:space="preserve">مجد العتيبي</t>
  </si>
  <si>
    <t xml:space="preserve">Majd Alotaibi</t>
  </si>
  <si>
    <t xml:space="preserve">جاهز (Jahez)</t>
  </si>
  <si>
    <t xml:space="preserve">عالم بيانات (Data Scientist)</t>
  </si>
  <si>
    <t xml:space="preserve">Strengths: Employment after training 5/5, Employer / company profile 4/5, Specialization 5/5. Data Science &amp; AI (T5) track, cohort 2024; 8 months to outcome. Weak on: Promotion, Career transition.</t>
  </si>
  <si>
    <t xml:space="preserve">التحاق بجاهز «عالم بيانات» بدوام كامل في يونيو 2025 — بعد ثمانية أشهر من إتمام المعسكر.</t>
  </si>
  <si>
    <t xml:space="preserve">yazeed-alshurify</t>
  </si>
  <si>
    <t xml:space="preserve">يزيد الشريف</t>
  </si>
  <si>
    <t xml:space="preserve">Yazeed Alshurify</t>
  </si>
  <si>
    <t xml:space="preserve">شركة فتيل</t>
  </si>
  <si>
    <t xml:space="preserve">محلل أنظمة أعمال — أول توظيف في سنة المعسكر نفسها، ثم مدير مشاريع في هواوي</t>
  </si>
  <si>
    <t xml:space="preserve">Strengths: Employment after training 5/5, Promotion 5/5, Story completeness 4.3/5. Data Science &amp; AI (T5) track, cohort 2024; timing dated by year only. Weak on: Career transition, Evidence quality.</t>
  </si>
  <si>
    <t xml:space="preserve">أول توظيف محللَ أنظمة أعمال في سنة المعسكر نفسها (2024) — ثم انتقال لاحق إلى هواوي وإدارة المشاريع.</t>
  </si>
  <si>
    <t xml:space="preserve">fares-altoukhi</t>
  </si>
  <si>
    <t xml:space="preserve">فارس الطوخي</t>
  </si>
  <si>
    <t xml:space="preserve">Fares Altoukhi</t>
  </si>
  <si>
    <t xml:space="preserve">غير معلنة</t>
  </si>
  <si>
    <t xml:space="preserve">مطوّر نماذج لغوية عربية مفتوحة المصدر</t>
  </si>
  <si>
    <t xml:space="preserve">Strengths: Specialization 5/5, Measurable impact 4/5, Story completeness 4.2/5. Data Science &amp; AI (T5) track, cohort 2024; timing dated by year only. Weak on: Employer / company profile, Employment after training. Held: Employer undisclosed.</t>
  </si>
  <si>
    <t xml:space="preserve">أغنى سجل مساهمات مفتوحة المصدر في العيّنة كلها: ثلاثة نماذج عربية منشورة على Hugging Face وخدمة استدلال حيّة على Google Cloud Run.</t>
  </si>
  <si>
    <t xml:space="preserve">mohammed-almalki</t>
  </si>
  <si>
    <t xml:space="preserve">محمد المالكي</t>
  </si>
  <si>
    <t xml:space="preserve">Mohammed Al Malki</t>
  </si>
  <si>
    <t xml:space="preserve">صاحب مشروع ADEL — الأعلى تقييمًا في الدفعة</t>
  </si>
  <si>
    <t xml:space="preserve">Strengths: Evidence quality 4/5, Measurable impact 4/5, Specialization 4/5. Data Science &amp; AI (T5) track, cohort 2024; timing dated by year only. Weak on: Employer / company profile, Promotion. Held: Employer undisclosed.</t>
  </si>
  <si>
    <t xml:space="preserve">مشروع ADEL للإشارات المرورية الذكية حاز أعلى تقييم في الدفعة (88/100)، ونُشر تطبيقًا حيًّا يعمل على Hugging Face.</t>
  </si>
  <si>
    <t xml:space="preserve">lena-alenazi</t>
  </si>
  <si>
    <t xml:space="preserve">لينا العنزي</t>
  </si>
  <si>
    <t xml:space="preserve">Lena Alenazi</t>
  </si>
  <si>
    <t xml:space="preserve">مركز «ذكاء» — منشآت</t>
  </si>
  <si>
    <t xml:space="preserve">محللة ومهندسة بيانات وذكاء اصطناعي</t>
  </si>
  <si>
    <t xml:space="preserve">Strengths: Evidence quality 4.2/5, Employer / company profile 4/5, Specialization 5/5. Data Science &amp; AI (T5) track, cohort 2024; timing dated by year only. Weak on: Employment after training, Promotion.</t>
  </si>
  <si>
    <t xml:space="preserve">جائزة مركز «ذكاء» التابع لمنشآت عن مشروع CLQC لتصنيف أمراض أوراق البُن — ومشروع ثانٍ ضمن أفضل ثلاثة مشاريع في المعسكر.</t>
  </si>
  <si>
    <t xml:space="preserve">rahaf-almutairi</t>
  </si>
  <si>
    <t xml:space="preserve">رهف المطيري</t>
  </si>
  <si>
    <t xml:space="preserve">Rahaf Almutairi</t>
  </si>
  <si>
    <t xml:space="preserve">وزارة المالية</t>
  </si>
  <si>
    <t xml:space="preserve">أخصائية علوم بيانات (Data Science Specialist)</t>
  </si>
  <si>
    <t xml:space="preserve">Strengths: Employer / company profile 5/5, Employment after training 5/5, Specialization 5/5. Data Science &amp; AI (T5) track, cohort 2024; 11 months to outcome. Weak on: Time since training, Promotion.</t>
  </si>
  <si>
    <t xml:space="preserve">التحاق بوزارة المالية أخصائيةً لعلوم البيانات في سبتمبر 2025 — أحد عشر شهرًا بعد الإتمام، داخل النافذة.</t>
  </si>
  <si>
    <t xml:space="preserve">reem-albalawi</t>
  </si>
  <si>
    <t xml:space="preserve">ريم البلوي</t>
  </si>
  <si>
    <t xml:space="preserve">Reem Albalawi</t>
  </si>
  <si>
    <t xml:space="preserve">ATS Travel</t>
  </si>
  <si>
    <t xml:space="preserve">محللة بيانات أعمال (Business Data Analyst)</t>
  </si>
  <si>
    <t xml:space="preserve">Strengths: Employment after training 5/5, Specialization 4/5, Career transition 5/5. Data Science &amp; AI (T5) track, cohort 2024; 6 months to outcome. Weak on: Promotion.</t>
  </si>
  <si>
    <t xml:space="preserve">توظيف محللةَ بيانات أعمال بدوام كامل في ATS Travel من أبريل 2025 — بعد ستة أشهر من إتمام المعسكر.</t>
  </si>
  <si>
    <t xml:space="preserve">Clear draft quote with graduate; Source photo</t>
  </si>
  <si>
    <t xml:space="preserve">faris-almuteri</t>
  </si>
  <si>
    <t xml:space="preserve">فارس المطيري</t>
  </si>
  <si>
    <t xml:space="preserve">Faris Al Muteri</t>
  </si>
  <si>
    <t xml:space="preserve">مركز الملك عبدالله العالمي للأبحاث الطبية KAIMRC</t>
  </si>
  <si>
    <t xml:space="preserve">مسؤول قواعد بيانات (Database Administrator) — بعد محلل مبرمج أول</t>
  </si>
  <si>
    <t xml:space="preserve">Strengths: Employer / company profile 5/5, Story completeness 4.8/5, Specialization 4/5. Advanced AI Pathways track, cohort 2024; 7 months to outcome. Weak on: Career transition.</t>
  </si>
  <si>
    <t xml:space="preserve">انتقال داخلي إلى دور بيانات: من محلل مبرمج أول إلى مسؤول قواعد بيانات في كيمارك من يوليو 2025 — بعد سبعة أشهر من إتمام البرنامج.</t>
  </si>
  <si>
    <t xml:space="preserve">may-aljuaid</t>
  </si>
  <si>
    <t xml:space="preserve">مي الجعيد</t>
  </si>
  <si>
    <t xml:space="preserve">May Aljuaid</t>
  </si>
  <si>
    <t xml:space="preserve">Saudi Brothers Commercial Company (SBCC)</t>
  </si>
  <si>
    <t xml:space="preserve">أخصائية تحليل بيانات (Data Analyst Specialist)</t>
  </si>
  <si>
    <t xml:space="preserve">Strengths: Employment after training 5/5, Specialization 4/5, Time since training 4/5. Data Science &amp; AI (T5) track, cohort 2024; 4 months to outcome. Weak on: Promotion, Career transition.</t>
  </si>
  <si>
    <t xml:space="preserve">توظيف أخصائيةَ تحليل بيانات بدوام كامل في Saudi Brothers Commercial Company (SBCC) بجدة من فبراير 2025 — بعد أربعة أشهر من إتمام المعسكر.</t>
  </si>
  <si>
    <t xml:space="preserve">Clear draft quote with graduate; Add employer logo</t>
  </si>
  <si>
    <t xml:space="preserve">hamad-almuhaythif</t>
  </si>
  <si>
    <t xml:space="preserve">حمد المحيذف</t>
  </si>
  <si>
    <t xml:space="preserve">Hamad Almuhaythif</t>
  </si>
  <si>
    <t xml:space="preserve">الشركة السعودية لشراكات المياه SWPC</t>
  </si>
  <si>
    <t xml:space="preserve">Data Engineering</t>
  </si>
  <si>
    <t xml:space="preserve">Strengths: Employment after training 5/5, Employer / company profile 4/5, Specialization 5/5. Data Engineering track, cohort 2025; timing dated by year only. Weak on: Promotion, Career transition.</t>
  </si>
  <si>
    <t xml:space="preserve">أنظف مسار موثّق في الدفعة: بكالوريوس 2024 ← معسكر هندسة البيانات ← عالم بيانات في SWPC في السنة نفسها.</t>
  </si>
  <si>
    <t xml:space="preserve">Confirm month-level date</t>
  </si>
  <si>
    <t xml:space="preserve">jehad-aljazi</t>
  </si>
  <si>
    <t xml:space="preserve">جهاد الجازي</t>
  </si>
  <si>
    <t xml:space="preserve">Jehad Aljazi</t>
  </si>
  <si>
    <t xml:space="preserve">المؤسسة العامة للتأمينات الاجتماعية GOSI</t>
  </si>
  <si>
    <t xml:space="preserve">مهندس بيانات</t>
  </si>
  <si>
    <t xml:space="preserve">Strengths: Employment after training 5/5, Employer / company profile 4/5, Strategic relevance 5/5. Data Engineering track, cohort 2025; timing dated by year only. Weak on: Promotion, Career transition.</t>
  </si>
  <si>
    <t xml:space="preserve">بكالوريوس 2024 ← معسكر هندسة البيانات ← مهندس بيانات في GOSI خلال 2025 — نمط «معسكر ← وظيفة» مكتمل.</t>
  </si>
  <si>
    <t xml:space="preserve">Clear draft quote with graduate; Source photo; Confirm month-level date</t>
  </si>
  <si>
    <t xml:space="preserve">amal-almubarak</t>
  </si>
  <si>
    <t xml:space="preserve">أمل المبارك</t>
  </si>
  <si>
    <t xml:space="preserve">Amal Almubarak</t>
  </si>
  <si>
    <t xml:space="preserve">أخصائية ذكاء اصطناعي</t>
  </si>
  <si>
    <t xml:space="preserve">من بكالوريوس جامعة الملك سعود إلى أخصائية ذكاء اصطناعي في GOSI خلال سنة التخرج نفسها.</t>
  </si>
  <si>
    <t xml:space="preserve">hussein-mohsen</t>
  </si>
  <si>
    <t xml:space="preserve">حسين محسن</t>
  </si>
  <si>
    <t xml:space="preserve">Hussain Mohsen</t>
  </si>
  <si>
    <t xml:space="preserve">أكاديمية كاوست</t>
  </si>
  <si>
    <t xml:space="preserve">مساعد تدريس ذكاء اصطناعي</t>
  </si>
  <si>
    <t xml:space="preserve">Strengths: Employment after training 5/5, Employer / company profile 4/5, Specialization 5/5. Data Engineering track, cohort 2025; timing dated by year only. Weak on: Promotion.</t>
  </si>
  <si>
    <t xml:space="preserve">من بكالوريوس الذكاء الاصطناعي إلى مسار أكاديمي بحثي في مؤسسة نخبوية خلال سنة واحدة.</t>
  </si>
  <si>
    <t xml:space="preserve">majd-alziyadi</t>
  </si>
  <si>
    <t xml:space="preserve">مجد الزيادي</t>
  </si>
  <si>
    <t xml:space="preserve">Majd Alziyady</t>
  </si>
  <si>
    <t xml:space="preserve">IBM</t>
  </si>
  <si>
    <t xml:space="preserve">مطوّرة تطبيقات</t>
  </si>
  <si>
    <t xml:space="preserve">ServiceNow</t>
  </si>
  <si>
    <t xml:space="preserve">Strengths: Employer / company profile 5/5, Employment after training 5/5, Achievements 4.2/5. ServiceNow track, cohort 2025; timing dated by year only. Weak on: Promotion, Career transition.</t>
  </si>
  <si>
    <t xml:space="preserve">من معسكر ServiceNow إلى تطوير التطبيقات في IBM بشهادتَي CAD وCSA.</t>
  </si>
  <si>
    <t xml:space="preserve">hind-alhijailan</t>
  </si>
  <si>
    <t xml:space="preserve">هند الحجيلان</t>
  </si>
  <si>
    <t xml:space="preserve">Hind Alhujailan</t>
  </si>
  <si>
    <t xml:space="preserve">مسؤولة تميز خدمات الحوسبة السحابية</t>
  </si>
  <si>
    <t xml:space="preserve">Strengths: Employment after training 4/5, Specialization 4/5, Story completeness 4/5. ServiceNow track, cohort 2025; timing dated by year only. Weak on: Promotion, Career transition.</t>
  </si>
  <si>
    <t xml:space="preserve">الدائرة تكتمل: الهيئة التي درّبتها وظّفتها — واحدة من أكثر من ثماني حالات توظيف موثّقة لخريجين داخل سدايا.</t>
  </si>
  <si>
    <t xml:space="preserve">wadha-almattar</t>
  </si>
  <si>
    <t xml:space="preserve">د. وضحة المطر</t>
  </si>
  <si>
    <t xml:space="preserve">Dr. Wadha Almattar</t>
  </si>
  <si>
    <t xml:space="preserve">أستاذة مساعدة ورئيسة قسم هندسة الحاسب</t>
  </si>
  <si>
    <t xml:space="preserve">Strengths: Employer / company profile 4/5, Achievements 5/5, Strategic relevance 5/5. GenAI / NVIDIA track, cohort 2025; 6 months to outcome. Weak on: Career transition.</t>
  </si>
  <si>
    <t xml:space="preserve">أتمّت برنامج NVIDIA وشهادتَي NVIDIA-Certified Associate في فبراير 2025 — وعُيّنت رئيسةً لقسم هندسة الحاسب بعد نحو ستة أشهر (أغسطس 2025).</t>
  </si>
  <si>
    <t xml:space="preserve">wajn-alqahtani</t>
  </si>
  <si>
    <t xml:space="preserve">وجن القحطاني</t>
  </si>
  <si>
    <t xml:space="preserve">Wajn Alqahtani</t>
  </si>
  <si>
    <t xml:space="preserve">مصرف الإنماء</t>
  </si>
  <si>
    <t xml:space="preserve">برنامج تطوير الخريجين (GDP) — إدارة البيانات والذكاء الاصطناعي</t>
  </si>
  <si>
    <t xml:space="preserve">Strengths: Employment after training 5/5, Employer / company profile 4/5, Achievements 5/5. LLM track, cohort 2025; timing dated by year only. Weak on: Promotion, Career transition.</t>
  </si>
  <si>
    <t xml:space="preserve">ثلاثة برامج متتابعة بالأكاديمية قادتها من التخرج الجامعي إلى برنامج تطوير خريجي مصرف الإنماء في مسار البيانات والذكاء الاصطناعي — مع تكريم في مؤتمر ICAN.</t>
  </si>
  <si>
    <t xml:space="preserve">sukainah-alramadhan</t>
  </si>
  <si>
    <t xml:space="preserve">سكينه الرمضان</t>
  </si>
  <si>
    <t xml:space="preserve">Sukainah Alramadhan</t>
  </si>
  <si>
    <t xml:space="preserve">مدرّبة ذكاء اصطناعي</t>
  </si>
  <si>
    <t xml:space="preserve">Strengths: Employment after training 5/5, Employer / company profile 4/5, Specialization 5/5. GenAI / NVIDIA track, cohort 2026; timing dated by year only. Weak on: Promotion.</t>
  </si>
  <si>
    <t xml:space="preserve">من متدرّبة في برامج الأكاديمية إلى مدرّبة ذكاء اصطناعي في أكاديمية كاوست — دورة كاملة من التعلّم إلى التعليم خلال عام واحد.</t>
  </si>
  <si>
    <t xml:space="preserve">jehad-alhazmi</t>
  </si>
  <si>
    <t xml:space="preserve">جهاد الحازمي</t>
  </si>
  <si>
    <t xml:space="preserve">Jehad Alhazmi</t>
  </si>
  <si>
    <t xml:space="preserve">بنك التنمية الاجتماعية</t>
  </si>
  <si>
    <t xml:space="preserve">محلل هندسة بيانات (Data Engineer Analyst)</t>
  </si>
  <si>
    <t xml:space="preserve">Strengths: Employment after training 5/5, Employer / company profile 4/5, Story completeness 5/5. Data Engineering track, cohort 2026; timing dated by year only. Weak on: Promotion, Career transition.</t>
  </si>
  <si>
    <t xml:space="preserve">تسلّم شهادة اجتياز معسكر هندسة البيانات على منصة مؤتمر ICAN، ويعمل اليوم محلل هندسة بيانات في بنك التنمية الاجتماعية.</t>
  </si>
  <si>
    <t xml:space="preserve">amal-almuarik</t>
  </si>
  <si>
    <t xml:space="preserve">أمل عبدالرحمن المعارك</t>
  </si>
  <si>
    <t xml:space="preserve">Amal Abdulrahman Almuarik</t>
  </si>
  <si>
    <t xml:space="preserve">أخصائية ذكاء اصطناعي (Artificial Intelligence Specialist)</t>
  </si>
  <si>
    <t xml:space="preserve">Legacy gap flag (authorized exception)</t>
  </si>
  <si>
    <t xml:space="preserve">Strengths: Employment after training 5/5, Employer / company profile 4/5, Specialization 5/5. Data Engineering track, cohort 2026; timing dated by year only. Weak on: Promotion, Career transition. Held: Legacy gap flag (authorized exception).</t>
  </si>
  <si>
    <t xml:space="preserve">من معسكر هندسة البيانات إلى أخصائية ذكاء اصطناعي داخل المؤسسة العامة للتأمينات الاجتماعية — جهة العمل والمسمى مؤكدان علنًا معًا.</t>
  </si>
  <si>
    <t xml:space="preserve">Replace GitHub avatar with real photo; Confirm month-level date</t>
  </si>
  <si>
    <t xml:space="preserve">bushra-dajam</t>
  </si>
  <si>
    <t xml:space="preserve">بشرى عبدالخالق دعجم</t>
  </si>
  <si>
    <t xml:space="preserve">Bushra Abdulkhaliq Dajam</t>
  </si>
  <si>
    <t xml:space="preserve">Arabot أرابوت</t>
  </si>
  <si>
    <t xml:space="preserve">مهندسة ذكاء اصطناعي (AI Engineer)</t>
  </si>
  <si>
    <t xml:space="preserve">Strengths: Employment after training 5/5, Employer / company profile 4/5, Specialization 5/5. GenAI / NVIDIA track, cohort 2026; timing dated by year only. Weak on: Promotion, Career transition. Held: Legacy gap flag (authorized exception).</t>
  </si>
  <si>
    <t xml:space="preserve">تبني نماذج لغوية عربية مفتوحة المصدر — من مساعد قانوني بتقنية الاسترجاع المعزّز إلى أنظمة توصية — ثم تنتقل بها إلى هندسة الذكاء الاصطناعي في شركة محادثة عربية.</t>
  </si>
  <si>
    <t xml:space="preserve">maysam-almalah</t>
  </si>
  <si>
    <t xml:space="preserve">ميسم الملاح</t>
  </si>
  <si>
    <t xml:space="preserve">Maysam Almalah</t>
  </si>
  <si>
    <t xml:space="preserve">مطوّرة — فريق مشروع «ريفيو» المتأهل ضمن أفضل ثلاثة</t>
  </si>
  <si>
    <t xml:space="preserve">Vibe Coding</t>
  </si>
  <si>
    <t xml:space="preserve">Strengths: Measurable impact 4/5, Achievements 5/5, Strategic relevance 5/5. Vibe Coding track, cohort 2026; timing dated by year only. Weak on: Employer / company profile, Employment after training. Held: Employer undisclosed.</t>
  </si>
  <si>
    <t xml:space="preserve">مشروع «ريفيو» تأهّل ضمن أفضل ثلاثة مشاريع من أصل أربعة عشر، وانتقل فريقها إلى دور لجنة تحكيم المرحلة الثانية.</t>
  </si>
  <si>
    <t xml:space="preserve">alanoud-alotaibi</t>
  </si>
  <si>
    <t xml:space="preserve">العنود العتيبي</t>
  </si>
  <si>
    <t xml:space="preserve">Alanoud Alotaibi</t>
  </si>
  <si>
    <t xml:space="preserve">مهندسة بيانات ووكلاء ذكاء اصطناعي — طالبة بجامعة الملك سعود</t>
  </si>
  <si>
    <t xml:space="preserve">AI Agents</t>
  </si>
  <si>
    <t xml:space="preserve">Strengths: Specialization 5/5, Strategic relevance 5/5. AI Agents track, cohort 2026; timing dated by year only. Weak on: Employer / company profile, Promotion. Held: Employer undisclosed.</t>
  </si>
  <si>
    <t xml:space="preserve">برنامجان موثّقان بالأكاديمية ومشروعان منشوران — أحدهما موقع حيّ يعمل علنًا بمنهج هندسة الوكلاء.</t>
  </si>
  <si>
    <t xml:space="preserve">rayah-aldawsari</t>
  </si>
  <si>
    <t xml:space="preserve">راية الدواسري</t>
  </si>
  <si>
    <t xml:space="preserve">Rayah Aldawsari</t>
  </si>
  <si>
    <t xml:space="preserve">خريجة أكاديمية الذكاء الاصطناعي التوليدي — المركز الثالث بين 120+ مشروعًا</t>
  </si>
  <si>
    <t xml:space="preserve">Strengths: Measurable impact 4/5, Achievements 5/5, Strategic relevance 5/5. GenAI / NVIDIA track, cohort 2026; timing dated by year only. Weak on: Employer / company profile, Employment after training. Held: Employer undisclosed.</t>
  </si>
  <si>
    <t xml:space="preserve">مشروع تخرجها حصد المركز الثالث بين أكثر من 120 مشروعًا — ونالت شهادة NVIDIA في 25 يوليو 2026.</t>
  </si>
  <si>
    <t xml:space="preserve">hassn-alqaeri</t>
  </si>
  <si>
    <t xml:space="preserve">حسن القاعري</t>
  </si>
  <si>
    <t xml:space="preserve">Hassn Alqaeri</t>
  </si>
  <si>
    <t xml:space="preserve">مهمة OSACT7 المشتركة — LREC 2026</t>
  </si>
  <si>
    <t xml:space="preserve">مهندس نماذج لغوية كبيرة — صاحب النظام الفائز بالمركز الأول</t>
  </si>
  <si>
    <t xml:space="preserve">Strengths: Evidence quality 4.2/5, Employer / company profile 5/5, Measurable impact 5/5. LLM track, cohort 2026; timing dated by year only. Weak on: Employment after training, Career transition.</t>
  </si>
  <si>
    <t xml:space="preserve">المركز الأول في مهمة تشكيل النطق العربي المشتركة بمعدل خطأ 23.26% — وورقة منشورة في ACL Anthology ضمن ورشة OSACT7 بمؤتمر LREC 2026.</t>
  </si>
  <si>
    <t xml:space="preserve">Clear draft quote with graduate; Replace GitHub avatar with real photo; Add employer logo; Confirm month-level date</t>
  </si>
  <si>
    <t xml:space="preserve">afrah-alsharari</t>
  </si>
  <si>
    <t xml:space="preserve">أفراح الشراري</t>
  </si>
  <si>
    <t xml:space="preserve">Afrah Alsharari</t>
  </si>
  <si>
    <t xml:space="preserve">أخصائية إحصاء — عُيّنت في سدايا فور انتهاء البرنامج (مارس 2022)</t>
  </si>
  <si>
    <t xml:space="preserve">Strengths: Specialization 4/5. Data Science &amp; AI (T5) track, cohort 2021; outcome in completion month. Weak on: Promotion, Strategic relevance.</t>
  </si>
  <si>
    <t xml:space="preserve">صفر شهر بين إتمام المعسكر والتوظيف: انتقلت من مقعد التدريب إلى وظيفة أخصائية إحصاء داخل سدايا في الشهر نفسه، وما زالت فيها بعد أربع سنوات ونصف.</t>
  </si>
  <si>
    <t xml:space="preserve">Clear draft quote with graduate; Replace low-res photo; Hire in completion month — check subsequence</t>
  </si>
  <si>
    <t xml:space="preserve">ruba-alnashwan</t>
  </si>
  <si>
    <t xml:space="preserve">ربى النشوان</t>
  </si>
  <si>
    <t xml:space="preserve">Ruba Alnashwan</t>
  </si>
  <si>
    <t xml:space="preserve">مهندسة جودة بيانات — المركز الوطني للمعلومات (سبتمبر 2023)</t>
  </si>
  <si>
    <t xml:space="preserve">Strengths: Employer / company profile 5/5, Employment after training 4/5, Story completeness 4.3/5. Data Science &amp; AI (T5) track, cohort 2021; outcome in completion month. Weak on: Promotion, Career transition.</t>
  </si>
  <si>
    <t xml:space="preserve">عُيّنت مهندسةَ أبحاث في المركز الوطني للذكاء الاصطناعي في شهر تخرّجها نفسه (نوفمبر 2021) وبقيت سنتين، ثم انتقلت إلى المركز الوطني للمعلومات مهندسةَ جودة بيانات.</t>
  </si>
  <si>
    <t xml:space="preserve">Clear draft quote with graduate; Hire in completion month — check subsequence</t>
  </si>
  <si>
    <t xml:space="preserve">ranya-alkahtani</t>
  </si>
  <si>
    <t xml:space="preserve">رانيا القحطاني</t>
  </si>
  <si>
    <t xml:space="preserve">Ranya A. Alkahtani</t>
  </si>
  <si>
    <t xml:space="preserve">هيوماين (HUMAIN)</t>
  </si>
  <si>
    <t xml:space="preserve">مهندسة ذكاء اصطناعي أولى (أبريل 2025)</t>
  </si>
  <si>
    <t xml:space="preserve">Strengths: Employer / company profile 5/5, Specialization 5/5, Employment after training 4/5. Data Science &amp; AI (T5) track, cohort 2021; outcome in completion month.</t>
  </si>
  <si>
    <t xml:space="preserve">من متدرّبة في معسكر T5 إلى مهندسة ذكاء اصطناعي أولى في هيوماين خلال أربع سنوات — بتوظيف بدأ في شهر التخرّج نفسه.</t>
  </si>
  <si>
    <t xml:space="preserve">abdulrahman-alrifae</t>
  </si>
  <si>
    <t xml:space="preserve">عبدالرحمن الرفاعي</t>
  </si>
  <si>
    <t xml:space="preserve">Abdulrahman Alrifae</t>
  </si>
  <si>
    <t xml:space="preserve">مدير حسابات تقني (مارس 2022)</t>
  </si>
  <si>
    <t xml:space="preserve">Strengths: Employment after training 4/5, Time since training 4/5, Story completeness 4/5. Data Science &amp; AI (T5) track, cohort 2021; 4 months to outcome. Weak on: Strategic relevance.</t>
  </si>
  <si>
    <t xml:space="preserve">أربعة أشهر بين إتمام المعسكر والتوظيف داخل سدايا، بعد مسار سابق في تطوير SharePoint — تحوّل مهني كامل نحو البيانات والذكاء الاصطناعي.</t>
  </si>
  <si>
    <t xml:space="preserve">najd-alqahtani</t>
  </si>
  <si>
    <t xml:space="preserve">نجد القحطاني</t>
  </si>
  <si>
    <t xml:space="preserve">Najd AlQahtani</t>
  </si>
  <si>
    <t xml:space="preserve">محللة بيانات ثم محللة بيانات أولى (يناير 2022 · أبريل 2024)</t>
  </si>
  <si>
    <t xml:space="preserve">Strengths: Employment after training 5/5, Employer / company profile 4/5, Time since training 5/5. Data Science &amp; AI (T5) track, cohort 2021; 1 month to outcome. Weak on: Career transition.</t>
  </si>
  <si>
    <t xml:space="preserve">شهر واحد فقط بين التخرّج والتوظيف، ثم أربع سنوات من التدرّج انتهت بوظيفة محللة أولى في جهة حكومية.</t>
  </si>
  <si>
    <t xml:space="preserve">basma-alduaiji</t>
  </si>
  <si>
    <t xml:space="preserve">بسمة الدعيجي</t>
  </si>
  <si>
    <t xml:space="preserve">Basma Alduaiji</t>
  </si>
  <si>
    <t xml:space="preserve">أكسنتشر</t>
  </si>
  <si>
    <t xml:space="preserve">محللة قيادية للبحث والتطوير التقني وتمكين الابتكار (أكتوبر 2025)</t>
  </si>
  <si>
    <t xml:space="preserve">التحقت بأكسنتشر بعد شهر واحد من التخرّج، ثم انتقلت إلى stc وتدرّجت ثلاث مرات في أربع سنوات حتى محللة قيادية.</t>
  </si>
  <si>
    <t xml:space="preserve">Clear draft quote with graduate; Replace low-res photo</t>
  </si>
  <si>
    <t xml:space="preserve">jennan-sowayan</t>
  </si>
  <si>
    <t xml:space="preserve">جنان سويان</t>
  </si>
  <si>
    <t xml:space="preserve">Jennan Sowayan</t>
  </si>
  <si>
    <t xml:space="preserve">شركة أنظمة الاتصالات والإلكترونيات المتقدمة (ACES)</t>
  </si>
  <si>
    <t xml:space="preserve">أخصائية تقديم ودعم الخدمات الإلكترونية (مايو 2024)</t>
  </si>
  <si>
    <t xml:space="preserve">شهر واحد بين التخرّج والتوظيف محللةَ بيانات، ثم مسار أربع سنوات في جهة حكومية.</t>
  </si>
  <si>
    <t xml:space="preserve">rana-alturki</t>
  </si>
  <si>
    <t xml:space="preserve">رنا التركي</t>
  </si>
  <si>
    <t xml:space="preserve">Rana Alturki</t>
  </si>
  <si>
    <t xml:space="preserve">جامعة الأميرة نورة بنت عبدالرحمن</t>
  </si>
  <si>
    <t xml:space="preserve">أخصائية أولى في هندسة الحلول العامة (سبتمبر 2024)</t>
  </si>
  <si>
    <t xml:space="preserve">شهر واحد بين التخرّج والتوظيف محللةَ أعمال، ثم أربع سنوات في iot squared انتهت بترقية إلى أخصائية أولى في هندسة الحلول.</t>
  </si>
  <si>
    <t xml:space="preserve">ohoud-albabtain</t>
  </si>
  <si>
    <t xml:space="preserve">عهود البابطين</t>
  </si>
  <si>
    <t xml:space="preserve">Ohoud I. Albabtain</t>
  </si>
  <si>
    <t xml:space="preserve">المركز الوطني للمعلومات</t>
  </si>
  <si>
    <t xml:space="preserve">مديرة مشاريع (فبراير 2022)</t>
  </si>
  <si>
    <t xml:space="preserve">Strengths: Employment after training 5/5, Employer / company profile 4/5, Time since training 5/5. Data Science &amp; AI (T5) track, cohort 2021; 2 months to outcome. Weak on: Career transition.</t>
  </si>
  <si>
    <t xml:space="preserve">شهران بين التخرّج والتوظيف مديرةَ مشاريع في المركز الوطني للمعلومات — وأربع سنوات ونصف من الاستمرارية بعدها.</t>
  </si>
  <si>
    <t xml:space="preserve">hussain-alhadab</t>
  </si>
  <si>
    <t xml:space="preserve">حسين الحدب</t>
  </si>
  <si>
    <t xml:space="preserve">Hussain Alhadab</t>
  </si>
  <si>
    <t xml:space="preserve">Devoteam</t>
  </si>
  <si>
    <t xml:space="preserve">مستشار بيانات (مارس 2022)</t>
  </si>
  <si>
    <t xml:space="preserve">Strengths: Employment after training 5/5, Employer / company profile 4/5, Specialization 4/5. Data Science &amp; AI (T5) track, cohort 2021; 3 months to outcome. Weak on: Promotion, Career transition.</t>
  </si>
  <si>
    <t xml:space="preserve">ثلاثة أشهر بين التخرّج والتوظيف مستشارَ بيانات — وأربع سنوات ونصف في الوظيفة نفسها منذ ذلك الحين.</t>
  </si>
  <si>
    <t xml:space="preserve">alanoud-alosaimi</t>
  </si>
  <si>
    <t xml:space="preserve">العنود العصيمي</t>
  </si>
  <si>
    <t xml:space="preserve">Alanoud Alosaimi</t>
  </si>
  <si>
    <t xml:space="preserve">بنك فيجن (Vision Bank)</t>
  </si>
  <si>
    <t xml:space="preserve">مهندسة بيانات (أبريل 2025)</t>
  </si>
  <si>
    <t xml:space="preserve">Strengths: Employment after training 5/5, Employer / company profile 4/5, Story completeness 4.3/5. Data Science &amp; AI (T5) track, cohort 2021; 3 months to outcome. Weak on: Promotion.</t>
  </si>
  <si>
    <t xml:space="preserve">ثلاثة أشهر بين التخرّج وأول عمل هندسي في البيانات، ثم مسار أربع سنوات مرّ بسدايا نفسها وانتهى بمهندسة بيانات في بنك فيجن.</t>
  </si>
  <si>
    <t xml:space="preserve">omar-alhadi</t>
  </si>
  <si>
    <t xml:space="preserve">عمر الهادي</t>
  </si>
  <si>
    <t xml:space="preserve">Omar Alhadi</t>
  </si>
  <si>
    <t xml:space="preserve">مطارات الرياض</t>
  </si>
  <si>
    <t xml:space="preserve">مهندس صناعي (أبريل 2022) ثم أخصائي مشتريات (أغسطس 2022)</t>
  </si>
  <si>
    <t xml:space="preserve">Strengths: Employment after training 5/5, Employer / company profile 4/5, Time since training 4/5. Data Science &amp; AI (T5) track, cohort 2021; 3 months to outcome. Weak on: Promotion.</t>
  </si>
  <si>
    <t xml:space="preserve">ثلاثة أشهر بين التخرّج والتوظيف في مطارات الرياض، ثم انتقال إلى قطاع الطاقة.</t>
  </si>
  <si>
    <t xml:space="preserve">dimah-albunayyih</t>
  </si>
  <si>
    <t xml:space="preserve">ديمة البنية</t>
  </si>
  <si>
    <t xml:space="preserve">Dimah Albunayyih</t>
  </si>
  <si>
    <t xml:space="preserve">مهندسة أولى — مركز عمليات التقنية (فبراير 2025)</t>
  </si>
  <si>
    <t xml:space="preserve">Strengths: Employer / company profile 5/5, Employment after training 5/5, Promotion 5/5. Data Science &amp; AI (T5) track, cohort 2021; 4 months to outcome. Weak on: Career transition.</t>
  </si>
  <si>
    <t xml:space="preserve">أربعة أشهر بين التخرّج والتوظيف محللةَ بيانات في شركة استحوذت عليها كريم، ثم مسار انتهى بمهندسة أولى في شركة علم.</t>
  </si>
  <si>
    <t xml:space="preserve">ahmed-almuaybid</t>
  </si>
  <si>
    <t xml:space="preserve">أحمد المعيبد</t>
  </si>
  <si>
    <t xml:space="preserve">Ahmed Almuaybid</t>
  </si>
  <si>
    <t xml:space="preserve">سابك</t>
  </si>
  <si>
    <t xml:space="preserve">قائد تحليلات وحدة الأعمال (أغسطس 2025)</t>
  </si>
  <si>
    <t xml:space="preserve">أربعة أشهر إلى أول وظيفة في تعلّم الآلة، وسبعة أشهر إلى سابك — ثم ثلاث ترقيات في أربع سنوات حتى قيادة تحليلات وحدة أعمال.</t>
  </si>
  <si>
    <t xml:space="preserve">amal-altamran</t>
  </si>
  <si>
    <t xml:space="preserve">أمل التمران</t>
  </si>
  <si>
    <t xml:space="preserve">Amal Altamran</t>
  </si>
  <si>
    <t xml:space="preserve">وزارة التعليم</t>
  </si>
  <si>
    <t xml:space="preserve">أخصائية تحليل بيانات (ديسمبر 2022)</t>
  </si>
  <si>
    <t xml:space="preserve">Strengths: Employer / company profile 5/5, Employment after training 5/5, Specialization 4/5. Data Science &amp; AI (T5) track, cohort 2021; 5 months to outcome. Weak on: Promotion.</t>
  </si>
  <si>
    <t xml:space="preserve">خمسة أشهر بين التخرّج والتوظيف مستشارةَ بيانات في Devoteam، ثم انتقال إلى وزارة التعليم أخصائيةَ تحليل بيانات منذ أربع سنوات.</t>
  </si>
  <si>
    <t xml:space="preserve">nada-alqabbani</t>
  </si>
  <si>
    <t xml:space="preserve">ندى القباني</t>
  </si>
  <si>
    <t xml:space="preserve">Nada K. AlQabbani</t>
  </si>
  <si>
    <t xml:space="preserve">رقمية (Raqamyah)</t>
  </si>
  <si>
    <t xml:space="preserve">مديرة تقنية المعلومات (فبراير 2025)</t>
  </si>
  <si>
    <t xml:space="preserve">Strengths: Employment after training 5/5, Promotion 5/5. Data Science &amp; AI (T5) track, cohort 2021; 7 months to outcome. Weak on: Career transition.</t>
  </si>
  <si>
    <t xml:space="preserve">سبعة أشهر إلى أول وظيفة تقنية بعد المعسكر، ثم مسار انتهى بإدارة تقنية المعلومات في مجموعة ريتشي.</t>
  </si>
  <si>
    <t xml:space="preserve">arwa-albassam</t>
  </si>
  <si>
    <t xml:space="preserve">أروى البسام</t>
  </si>
  <si>
    <t xml:space="preserve">Arwa AlBassam</t>
  </si>
  <si>
    <t xml:space="preserve">Magnetar</t>
  </si>
  <si>
    <t xml:space="preserve">مديرة مشاريع (أغسطس 2024)</t>
  </si>
  <si>
    <t xml:space="preserve">Strengths: Employment after training 5/5. Data Science &amp; AI (T5) track, cohort 2021; 9 months to outcome.</t>
  </si>
  <si>
    <t xml:space="preserve">تسعة أشهر إلى وظيفة مهندسة حلول ذكاء أعمال، ثم انتقال إلى إدارة المشاريع التقنية.</t>
  </si>
  <si>
    <t xml:space="preserve">aljoharah-alaqeel</t>
  </si>
  <si>
    <t xml:space="preserve">الجوهرة العقيل</t>
  </si>
  <si>
    <t xml:space="preserve">Aljoharah Alaqeel</t>
  </si>
  <si>
    <t xml:space="preserve">مهندسة أنظمة بنية تحتية (نوفمبر 2024)</t>
  </si>
  <si>
    <t xml:space="preserve">Strengths: Employment after training 5/5, Employer / company profile 4/5, Story completeness 4/5. Data Science &amp; AI (T5) track, cohort 2021; 9 months to outcome. Weak on: Promotion, Career transition.</t>
  </si>
  <si>
    <t xml:space="preserve">تسعة أشهر إلى وظيفة أخصائية بنية تحتية، ثم عودة إلى سدايا مهندسةَ أنظمة بنية تحتية بعد ثلاث سنوات.</t>
  </si>
  <si>
    <t xml:space="preserve">abdullah-almutairi-cyber</t>
  </si>
  <si>
    <t xml:space="preserve">عبدالله المطيري</t>
  </si>
  <si>
    <t xml:space="preserve">Abdullah Almutairi</t>
  </si>
  <si>
    <t xml:space="preserve">أخصائي أمن سيبراني (أغسطس 2022)</t>
  </si>
  <si>
    <t xml:space="preserve">Cybersecurity</t>
  </si>
  <si>
    <t xml:space="preserve">Strengths: Employment after training 4/5, Specialization 4/5, Time since training 4/5. Cybersecurity track, cohort 2021; 3 months to outcome. Weak on: Promotion, Career transition.</t>
  </si>
  <si>
    <t xml:space="preserve">أول قصة موثّقة من مسار الأمن السيبراني بالأكاديمية: ثلاثة أشهر بين التخرّج والتوظيف داخل سدايا، وأربع سنوات من الاستمرارية.</t>
  </si>
  <si>
    <t xml:space="preserve">mukhtar-albinhamad</t>
  </si>
  <si>
    <t xml:space="preserve">مختار آل بن حمد</t>
  </si>
  <si>
    <t xml:space="preserve">Mukhtar Al Bin Hamad</t>
  </si>
  <si>
    <t xml:space="preserve">مبرمج حاسب (ديسمبر 2023)</t>
  </si>
  <si>
    <t xml:space="preserve">Strengths: Employment after training 5/5, Employer / company profile 4/5, Story completeness 4/5. Data Science &amp; AI (T5) track, cohort 2021; 5 months to outcome. Weak on: Promotion.</t>
  </si>
  <si>
    <t xml:space="preserve">خمسة أشهر بين التخرّج والتوظيف مهندسَ مركز عمليات شبكات، ثم انتقال إلى البرمجة في شركة سراكو.</t>
  </si>
  <si>
    <t xml:space="preserve">shroaq-allwiahaq</t>
  </si>
  <si>
    <t xml:space="preserve">شروق اللويحق</t>
  </si>
  <si>
    <t xml:space="preserve">Shroaq Allwiahaq</t>
  </si>
  <si>
    <t xml:space="preserve">وزارة البلديات والإسكان</t>
  </si>
  <si>
    <t xml:space="preserve">أخصائية حوكمة الأمن السيبراني (فبراير 2023)</t>
  </si>
  <si>
    <t xml:space="preserve">Strengths: Employer / company profile 5/5, Employment after training 5/5, Specialization 4/5. Data Science &amp; AI (T5) track, cohort 2021; 14 months to outcome. Weak on: Time since training, Promotion.</t>
  </si>
  <si>
    <t xml:space="preserve">أربعة عشر شهرًا بالضبط بين إتمام البرنامج والتوظيف — الحد الأقصى للمعيار المعتمد.</t>
  </si>
  <si>
    <t xml:space="preserve">maha-altalak</t>
  </si>
  <si>
    <t xml:space="preserve">مها الطلق</t>
  </si>
  <si>
    <t xml:space="preserve">Maha Altalak</t>
  </si>
  <si>
    <t xml:space="preserve">نيوم</t>
  </si>
  <si>
    <t xml:space="preserve">مديرة الابتكار ورئيسة قطاع نمذجة الذكاء الاصطناعي (نوفمبر 2025)</t>
  </si>
  <si>
    <t xml:space="preserve">Strengths: Employer / company profile 5/5, Employment after training 5/5, Story completeness 4/5. AI Summer Champions track, cohort 2022; 5 months to outcome. Weak on: Career transition.</t>
  </si>
  <si>
    <t xml:space="preserve">خمسة أشهر بين إتمام البرنامج والالتحاق بنيوم مهندسةَ تعلّم آلة — ثم مسار قيادي انتهى بإدارة الابتكار في وزارة الصحة.</t>
  </si>
  <si>
    <t xml:space="preserve">anas-almana</t>
  </si>
  <si>
    <t xml:space="preserve">أنس المانع</t>
  </si>
  <si>
    <t xml:space="preserve">Anas Almana</t>
  </si>
  <si>
    <t xml:space="preserve">Quality Support Solutions</t>
  </si>
  <si>
    <t xml:space="preserve">مهندس ذكاء اصطناعي أول (مايو 2026)</t>
  </si>
  <si>
    <t xml:space="preserve">Strengths: Employment after training 5/5, Specialization 5/5, Time since training 5/5. Data Science &amp; AI (T5) track, cohort 2023; 1 month to outcome.</t>
  </si>
  <si>
    <t xml:space="preserve">شهر واحد بين التخرّج والتوظيف مهندسَ برمجيات ذكاء اصطناعي، ثم انتقال إلى سدايا وترقية إلى مهندس أول.</t>
  </si>
  <si>
    <t xml:space="preserve">yasmin-alsuliman</t>
  </si>
  <si>
    <t xml:space="preserve">ياسمين آل سليمان</t>
  </si>
  <si>
    <t xml:space="preserve">Yasmin Al Suliman</t>
  </si>
  <si>
    <t xml:space="preserve">شركة المياه الوطنية (NWC)</t>
  </si>
  <si>
    <t xml:space="preserve">قائدة فريق الذكاء الاصطناعي (يوليو 2025)</t>
  </si>
  <si>
    <t xml:space="preserve">Strengths: Employment after training 5/5, Employer / company profile 4/5, Story completeness 5/5. Data Science &amp; AI (T5) track, cohort 2024; 5 months to outcome. Weak on: Career transition.</t>
  </si>
  <si>
    <t xml:space="preserve">خمسة أشهر بين التخرّج ووظيفة أخصائية أنظمة ذكاء اصطناعي، ثم ترقية إلى قيادة فريق الذكاء الاصطناعي خلال ثلاثة عشر شهرًا من التخرّج.</t>
  </si>
  <si>
    <t xml:space="preserve">tasneem-alrajih</t>
  </si>
  <si>
    <t xml:space="preserve">تسنيم الراجح</t>
  </si>
  <si>
    <t xml:space="preserve">Tasneem Alrajih</t>
  </si>
  <si>
    <t xml:space="preserve">مطوّرة برمجيات مساعدة (أكتوبر 2024)</t>
  </si>
  <si>
    <t xml:space="preserve">Strengths: Employment after training 4/5, Time since training 4/5. Data Science &amp; AI (T5) track, cohort 2024; 3 months to outcome. Weak on: Promotion, Career transition.</t>
  </si>
  <si>
    <t xml:space="preserve">برنامجان متتاليان بالأكاديمية ثم توظيف داخل سدايا خلال ثلاثة أشهر من إتمام البرنامج الثاني.</t>
  </si>
  <si>
    <t xml:space="preserve">rawan-althubyani</t>
  </si>
  <si>
    <t xml:space="preserve">روان الذبياني</t>
  </si>
  <si>
    <t xml:space="preserve">Rawan Althubyani</t>
  </si>
  <si>
    <t xml:space="preserve">إمارة منطقة مكة المكرمة</t>
  </si>
  <si>
    <t xml:space="preserve">مصمّمة تجربة وواجهة المستخدم (أبريل 2025)</t>
  </si>
  <si>
    <t xml:space="preserve">Strengths: Employment after training 5/5, Employer / company profile 4/5, Story completeness 4.3/5. Data Science &amp; AI (T5) track, cohort 2024; 10 months to outcome. Weak on: Promotion.</t>
  </si>
  <si>
    <t xml:space="preserve">عشرة أشهر بين التخرّج والتوظيف في جهة حكومية إقليمية — ومثال على تحوّل خريجة المعسكر إلى تصميم المنتجات الرقمية الحكومية.</t>
  </si>
  <si>
    <t xml:space="preserve">sultan-alsubaie</t>
  </si>
  <si>
    <t xml:space="preserve">سلطان السبيعي</t>
  </si>
  <si>
    <t xml:space="preserve">Sultan Alsubaie</t>
  </si>
  <si>
    <t xml:space="preserve">resilience</t>
  </si>
  <si>
    <t xml:space="preserve">محلل حوكمة ومخاطر والتزام — برنامج GDP (نوفمبر 2025)</t>
  </si>
  <si>
    <t xml:space="preserve">Strengths: Employment after training 5/5, Time since training 4/5, Strategic relevance 4/5. Data Management track, cohort 2025; 3 months to outcome. Weak on: Promotion, Career transition.</t>
  </si>
  <si>
    <t xml:space="preserve">ثلاثة أشهر بين التخرّج والالتحاق ببرنامج تطوير الخريجين في resilience محلّلَ حوكمة ومخاطر والتزام.</t>
  </si>
  <si>
    <t xml:space="preserve">osamah-alqarawi</t>
  </si>
  <si>
    <t xml:space="preserve">أسامة القرعاوي</t>
  </si>
  <si>
    <t xml:space="preserve">Osamah Alqarawi</t>
  </si>
  <si>
    <t xml:space="preserve">مهندس سحابة (فبراير 2026)</t>
  </si>
  <si>
    <t xml:space="preserve">Cloud</t>
  </si>
  <si>
    <t xml:space="preserve">Strengths: Time since training 5/5, Employment after training 4/5, Strategic relevance 5/5. Cloud track, cohort 2025; 2 months to outcome. Weak on: Promotion, Career transition.</t>
  </si>
  <si>
    <t xml:space="preserve">أول قصة موثّقة من مسار إدارة الأنظمة السحابية: شهران بين التخرّج والتوظيف مهندسَ سحابة في سدايا.</t>
  </si>
  <si>
    <t xml:space="preserve">talal-alharthi</t>
  </si>
  <si>
    <t xml:space="preserve">طلال الحارثي</t>
  </si>
  <si>
    <t xml:space="preserve">Talal Alharthi</t>
  </si>
  <si>
    <t xml:space="preserve">شمال (SHAMAL)</t>
  </si>
  <si>
    <t xml:space="preserve">مسؤول نظام — البنية التحتية والأتمتة (مايو 2026)</t>
  </si>
  <si>
    <t xml:space="preserve">Strengths: Employment after training 5/5, Employer / company profile 4/5, Story completeness 5/5. Cloud track, cohort 2025; 5 months to outcome. Weak on: Promotion, Career transition.</t>
  </si>
  <si>
    <t xml:space="preserve">وظيفة بدوام كامل مسؤولَ نظام في شمال بعد خمسة أشهر من إتمام المعسكر — ثالث قصة موثّقة من دفعة الأنظمة السحابية نفسها (أكتوبر–ديسمبر 2025).</t>
  </si>
  <si>
    <t xml:space="preserve">abdullah-mushafi</t>
  </si>
  <si>
    <t xml:space="preserve">عبدالله مشافي</t>
  </si>
  <si>
    <t xml:space="preserve">Abdullah Mushafi</t>
  </si>
  <si>
    <t xml:space="preserve">معادن</t>
  </si>
  <si>
    <t xml:space="preserve">مهندس تحليل (يونيو 2026)</t>
  </si>
  <si>
    <t xml:space="preserve">Strengths: Employer / company profile 5/5, Employment after training 5/5, Strategic relevance 5/5. Cloud track, cohort 2025; 6 months to outcome. Weak on: Promotion.</t>
  </si>
  <si>
    <t xml:space="preserve">وظيفة هندسية أثناء المعسكر نفسه (نوفمبر 2025)، ثم انتقال إلى معادن مهندسَ تحليل خلال ستة أشهر من التخرّج.</t>
  </si>
  <si>
    <t xml:space="preserve">rayan-alsuwat</t>
  </si>
  <si>
    <t xml:space="preserve">ريان السواط</t>
  </si>
  <si>
    <t xml:space="preserve">Rayan Alsuwat</t>
  </si>
  <si>
    <t xml:space="preserve">مختص تشغيل أنظمة الحوسبة السحابية (فبراير 2026)</t>
  </si>
  <si>
    <t xml:space="preserve">Strengths: Employment after training 4/5, Story completeness 4.3/5, Specialization 4/5. ServiceNow track, cohort 2025; timing dated by year only. Weak on: Career transition.</t>
  </si>
  <si>
    <t xml:space="preserve">مسار متدرّج داخل سدايا: تدريب تعاوني في تشغيل البنية السحابية (2024)، ثم برنامج ServiceNow (2025)، ثم وظيفة تشغيل أنظمة سحابية بدوام كامل (فبراير 2026).</t>
  </si>
  <si>
    <t xml:space="preserve">ghyoudh-alotaibi</t>
  </si>
  <si>
    <t xml:space="preserve">غيوض العتيبي</t>
  </si>
  <si>
    <t xml:space="preserve">Ghyoudh Alotaibi</t>
  </si>
  <si>
    <t xml:space="preserve">مهندس برمجيات (مايو 2026)</t>
  </si>
  <si>
    <t xml:space="preserve">AI Bootcamp</t>
  </si>
  <si>
    <t xml:space="preserve">Strengths: Employer / company profile 5/5, Employment after training 5/5, Measurable impact 4/5. AI Bootcamp track, cohort 2026; timing dated by year only. Weak on: Promotion, Career transition.</t>
  </si>
  <si>
    <t xml:space="preserve">موثوقية استخراج تتجاوز 98% في مسار OCR للوثائق الطبية داخل أنظمة المستشفيات، بعد التحاقه بهيوماين مهندسَ برمجيات.</t>
  </si>
  <si>
    <t xml:space="preserve">nasser-alkuhili</t>
  </si>
  <si>
    <t xml:space="preserve">ناصر فايز الكحيلي</t>
  </si>
  <si>
    <t xml:space="preserve">Nasser Fayez Alkuhili</t>
  </si>
  <si>
    <t xml:space="preserve">مصرف الراجحي</t>
  </si>
  <si>
    <t xml:space="preserve">مهندس ذكاء اصطناعي — ابتكار الذكاء الاصطناعي (AI Innovation)</t>
  </si>
  <si>
    <t xml:space="preserve">Strengths: Employer / company profile 5/5, Employment after training 5/5, Specialization 5/5. GenAI / NVIDIA track, cohort 2024; timing dated by year only. Weak on: Promotion, Career transition. Held: Legacy gap flag (authorized exception).</t>
  </si>
  <si>
    <t xml:space="preserve">من التدريب الاحترافي في الذكاء الاصطناعي التوليدي وخمس شهادات NVIDIA معتمدة إلى هندسة الذكاء الاصطناعي في وحدة ابتكار الذكاء الاصطناعي بمصرف الراجحي.</t>
  </si>
  <si>
    <t xml:space="preserve">rawabi-allihyani</t>
  </si>
  <si>
    <t xml:space="preserve">روابي عبود اللحياني</t>
  </si>
  <si>
    <t xml:space="preserve">Rawabi Aboud Allihyani</t>
  </si>
  <si>
    <t xml:space="preserve">أمانة العاصمة المقدسة</t>
  </si>
  <si>
    <t xml:space="preserve">Strengths: Employment after training 5/5, Employer / company profile 4/5, Story completeness 4.8/5. Data Engineering track, cohort 2024; timing dated by year only. Weak on: Promotion, Career transition. Held: Legacy gap flag (authorized exception).</t>
  </si>
  <si>
    <t xml:space="preserve">من معسكر هندسة البيانات إلى تحليل البيانات في أمانة العاصمة المقدسة — أثر مباشر على الخدمات البلدية.</t>
  </si>
  <si>
    <t xml:space="preserve">lama-alzahrani</t>
  </si>
  <si>
    <t xml:space="preserve">لمى حسن الزهراني</t>
  </si>
  <si>
    <t xml:space="preserve">Lama Hassan Alzahrani</t>
  </si>
  <si>
    <t xml:space="preserve">stc</t>
  </si>
  <si>
    <t xml:space="preserve">محللة تسويق (Marketing Analyst)</t>
  </si>
  <si>
    <t xml:space="preserve">Strengths: Employer / company profile 5/5, Employment after training 5/5, Story completeness 4.8/5. Data Engineering track, cohort 2024; timing dated by year only. Weak on: Promotion, Career transition. Held: Legacy gap flag (authorized exception).</t>
  </si>
  <si>
    <t xml:space="preserve">من معسكر هندسة البيانات إلى تحليل التسويق في stc — توظيف مهارات البيانات في أكبر مشغّل اتصالات في المملكة.</t>
  </si>
  <si>
    <t xml:space="preserve">hanan-aljaid</t>
  </si>
  <si>
    <t xml:space="preserve">حنان مشعل الجعيد</t>
  </si>
  <si>
    <t xml:space="preserve">Hanan Mishal Aljaid</t>
  </si>
  <si>
    <t xml:space="preserve">قو للاتصالات GO Telecom</t>
  </si>
  <si>
    <t xml:space="preserve">أخصائية عمليات تقنية المعلومات (Specialist, IT Operation)</t>
  </si>
  <si>
    <t xml:space="preserve">Strengths: Employment after training 5/5, Employer / company profile 4/5, Story completeness 4.6/5. Data Engineering track, cohort 2024; timing dated by year only. Weak on: Promotion, Career transition.</t>
  </si>
  <si>
    <t xml:space="preserve">التحاق بقو للاتصالات في سنة إتمام معسكر هندسة البيانات نفسها — حالة توظيف داخل النافذة المعتمدة.</t>
  </si>
  <si>
    <t xml:space="preserve">aljohara-alhogail</t>
  </si>
  <si>
    <t xml:space="preserve">الجوهرة خالد الحقيل</t>
  </si>
  <si>
    <t xml:space="preserve">Aljohara Khalid Alhogail</t>
  </si>
  <si>
    <t xml:space="preserve">مطوّرة أتمتة العمليات الروبوتية (RPA Developer)</t>
  </si>
  <si>
    <t xml:space="preserve">Strengths: Employment after training 5/5, Employer / company profile 4/5, Strategic relevance 5/5. AI Agents track, cohort 2025; timing dated by year only. Weak on: Promotion, Career transition. Held: Legacy gap flag (authorized exception).</t>
  </si>
  <si>
    <t xml:space="preserve">من برنامج وكلاء الذكاء الاصطناعي إلى تطوير أتمتة العمليات الروبوتية في مصرف الإنماء.</t>
  </si>
  <si>
    <t xml:space="preserve">Replace low-res photo; Confirm month-level date</t>
  </si>
  <si>
    <t xml:space="preserve">badr-alshamrani</t>
  </si>
  <si>
    <t xml:space="preserve">بدر علي الشمراني</t>
  </si>
  <si>
    <t xml:space="preserve">Badr Ali Alshamrani</t>
  </si>
  <si>
    <t xml:space="preserve">مستشفى الملك فيصل التخصصي ومركز الأبحاث</t>
  </si>
  <si>
    <t xml:space="preserve">مهندس ذكاء اصطناعي تطبيقي وابتكار (Applied AI &amp; Innovation Engineer)</t>
  </si>
  <si>
    <t xml:space="preserve">Strengths: Employer / company profile 5/5, Evidence quality 4/5, Employment after training 5/5. AI Agents track, cohort 2025; 3 months to outcome. Weak on: Promotion, Career transition.</t>
  </si>
  <si>
    <t xml:space="preserve">التحاق بمستشفى الملك فيصل التخصصي مهندسَ ذكاء اصطناعي تطبيقي وابتكار بدوام كامل في ديسمبر 2025 — بعد ثلاثة أشهر من إتمام البرنامج.</t>
  </si>
  <si>
    <t xml:space="preserve">etab-alotaibi</t>
  </si>
  <si>
    <t xml:space="preserve">عتاب محمد العتيبي</t>
  </si>
  <si>
    <t xml:space="preserve">Etab Mohammed Alotaibi</t>
  </si>
  <si>
    <t xml:space="preserve">أخصائية ذكاء اصطناعي (AI Specialist)</t>
  </si>
  <si>
    <t xml:space="preserve">برنامجان متتاليان بالأكاديمية ثم موقع أخصائية ذكاء اصطناعي في مركز الملك عبدالله العالمي للأبحاث الطبية.</t>
  </si>
  <si>
    <t xml:space="preserve">rand-alsaleh</t>
  </si>
  <si>
    <t xml:space="preserve">رند عبداللطيف الصالح</t>
  </si>
  <si>
    <t xml:space="preserve">Rand Abdullatif Alsaleh</t>
  </si>
  <si>
    <t xml:space="preserve">شركة صدارة للكيميائيات</t>
  </si>
  <si>
    <t xml:space="preserve">محللة التحول الرقمي (Digital Transformation Analyst)</t>
  </si>
  <si>
    <t xml:space="preserve">Strengths: Employment after training 5/5, Employer / company profile 4/5, Strategic relevance 5/5. GenAI / NVIDIA track, cohort 2024; timing dated by year only. Weak on: Promotion, Evidence quality. Held: Legacy gap flag (authorized exception).</t>
  </si>
  <si>
    <t xml:space="preserve">من التدريب الاحترافي في الذكاء الاصطناعي التوليدي إلى تحليل التحول الرقمي في قطاع الصناعات الكيميائية.</t>
  </si>
  <si>
    <t xml:space="preserve">Source photo; Confirm month-level date</t>
  </si>
  <si>
    <t xml:space="preserve">yasser-alshehri</t>
  </si>
  <si>
    <t xml:space="preserve">ياسر محمد الشهري</t>
  </si>
  <si>
    <t xml:space="preserve">Yasser Mohammed Alshehri</t>
  </si>
  <si>
    <t xml:space="preserve">جهة حكومية (غير معلنة)</t>
  </si>
  <si>
    <t xml:space="preserve">مسار الذكاء الاصطناعي التوليدي — جهة حكومية</t>
  </si>
  <si>
    <t xml:space="preserve">Legacy gap flag (authorized exception); Employer undisclosed</t>
  </si>
  <si>
    <t xml:space="preserve">Strengths: Employment after training 5/5, Strategic relevance 5/5, Story completeness 4.2/5. GenAI / NVIDIA track, cohort 2025; timing dated by year only. Weak on: Employer / company profile, Promotion. Held: Legacy gap flag (authorized exception); Employer undisclosed.</t>
  </si>
  <si>
    <t xml:space="preserve">خمس شهادات NVIDIA معتمدة عبر الأكاديمية، ثم التحاق بجهة حكومية لا يُفصح الملف عن اسمها.</t>
  </si>
  <si>
    <t xml:space="preserve">asma-alzubaidi</t>
  </si>
  <si>
    <t xml:space="preserve">اسماء احمد الزبيدي</t>
  </si>
  <si>
    <t xml:space="preserve">Asma Ahmed Alzubaidi</t>
  </si>
  <si>
    <t xml:space="preserve">جامعة أم القرى</t>
  </si>
  <si>
    <t xml:space="preserve">محاضرة — جامعة أم القرى (أغسطس 2026)</t>
  </si>
  <si>
    <t xml:space="preserve">Strengths: Evidence quality 4.5/5, Employment after training 5/5, Employer / company profile 4/5. GenAI / NVIDIA track, cohort 2025; 11 months to outcome. Weak on: Time since training.</t>
  </si>
  <si>
    <t xml:space="preserve">من متدرّبة في معسكرين بأكاديمية سدايا إلى أخصائية أولى للتحول الرقمي والذكاء الاصطناعي (مارس 2026) ثم محاضِرة في جامعة أم القرى (أغسطس 2026) — خلال أحد عشر شهرًا من إتمام برنامج الذكاء الاصطناعي التوليدي.</t>
  </si>
  <si>
    <t xml:space="preserve">bayan-albaqami</t>
  </si>
  <si>
    <t xml:space="preserve">Bayan Albaqami</t>
  </si>
  <si>
    <t xml:space="preserve">مهندسة بيانات</t>
  </si>
  <si>
    <t xml:space="preserve">Strengths: Employment after training 5/5, Employer / company profile 4/5, Story completeness 5/5. Data Engineering track, cohort 2025; 4 months to outcome. Weak on: Promotion, Career transition.</t>
  </si>
  <si>
    <t xml:space="preserve">توظيف بدوام كامل مهندسةَ بيانات في بنك التنمية الاجتماعية بعد أربعة أشهر من إتمام المعسكر.</t>
  </si>
  <si>
    <t xml:space="preserve">dhiyaa-alsalem</t>
  </si>
  <si>
    <t xml:space="preserve">Dhiyaa Alsalem</t>
  </si>
  <si>
    <t xml:space="preserve">واكب للبيانات (Wakeb Data)</t>
  </si>
  <si>
    <t xml:space="preserve">عالِم بيانات ومهندس ذكاء اصطناعي (Junior)</t>
  </si>
  <si>
    <t xml:space="preserve">Strengths: Employment after training 5/5, Employer / company profile 4/5, Specialization 5/5. Data Science &amp; AI (T5) track, cohort 2024; 7 months to outcome. Weak on: Promotion.</t>
  </si>
  <si>
    <t xml:space="preserve">تدريب تعاوني في واكب للبيانات (يناير 2025) ثم توظيف بدوام كامل عالِمَ بيانات ومهندسَ ذكاء اصطناعي في مايو 2025 — سبعة أشهر بعد الإتمام.</t>
  </si>
  <si>
    <t xml:space="preserve">noura-aldawsari</t>
  </si>
  <si>
    <t xml:space="preserve">Noura Aldawsari</t>
  </si>
  <si>
    <t xml:space="preserve">التعاونية للتأمين (Tawuniya)</t>
  </si>
  <si>
    <t xml:space="preserve">أخصائية أولى — علم البيانات</t>
  </si>
  <si>
    <t xml:space="preserve">Strengths: Employer / company profile 4/5, Specialization 5/5, Story completeness 4.8/5. Data Science &amp; AI (T5) track, cohort 2024; 12 months to outcome. Weak on: Time since training, Career transition.</t>
  </si>
  <si>
    <t xml:space="preserve">انتقال داخلي إلى وظيفة أخصائية علم بيانات في أكتوبر 2025 — اثنا عشر شهرًا بعد الإتمام — ثم ترقية إلى «أخصائية أولى» في يناير 2026.</t>
  </si>
  <si>
    <t xml:space="preserve">maram-alshehri-zeham</t>
  </si>
  <si>
    <t xml:space="preserve">Maram Alshehri</t>
  </si>
  <si>
    <t xml:space="preserve">Lean Business Services</t>
  </si>
  <si>
    <t xml:space="preserve">مهندسة تعلم آلة (برنامج تطوير الخريجين)</t>
  </si>
  <si>
    <t xml:space="preserve">Strengths: Employment after training 5/5, Specialization 5/5, Story completeness 4.6/5. Data Science &amp; AI (T5) track, cohort 2024; 3 months to outcome. Weak on: Promotion, Career transition.</t>
  </si>
  <si>
    <t xml:space="preserve">توظيف مهندسةَ تعلم آلة في Lean Business Services في يناير 2025 — ثلاثة أشهر بعد الإتمام.</t>
  </si>
  <si>
    <t xml:space="preserve">munirah-alhazzani</t>
  </si>
  <si>
    <t xml:space="preserve">Munirah Saad Alhazzani</t>
  </si>
  <si>
    <t xml:space="preserve">المركز الوطني لنظم الموارد الحكومية (NCGR)</t>
  </si>
  <si>
    <t xml:space="preserve">مهندسة عمليات إدارة البيانات (المستوى الثاني)</t>
  </si>
  <si>
    <t xml:space="preserve">Strengths: Employment after training 5/5, Employer / company profile 4/5, Story completeness 4.6/5. Data Science &amp; AI (T5) track, cohort 2024; 5 months to outcome. Weak on: Promotion, Career transition.</t>
  </si>
  <si>
    <t xml:space="preserve">توظيف بدوام كامل في المركز الوطني لنظم الموارد الحكومية في نوفمبر 2024 — خمسة أشهر بعد الإتمام.</t>
  </si>
  <si>
    <t xml:space="preserve">mazen-alkhodairi</t>
  </si>
  <si>
    <t xml:space="preserve">مازن الخضيري</t>
  </si>
  <si>
    <t xml:space="preserve">Mazen Alkhodairi</t>
  </si>
  <si>
    <t xml:space="preserve">شركة الإلكترونيات المتقدمة (SAMI Advanced Electronics)</t>
  </si>
  <si>
    <t xml:space="preserve">مهندس برمجيات مشارك</t>
  </si>
  <si>
    <t xml:space="preserve">Strengths: Employment after training 5/5, Employer / company profile 4/5, Story completeness 5/5. Advanced AI Pathways track, cohort 2025; 9 months to outcome. Weak on: Promotion.</t>
  </si>
  <si>
    <t xml:space="preserve">تدريب مهندس ذكاء اصطناعي في SAMI Advanced Electronics (يونيو 2025) ثم توظيف بدوام كامل في أكتوبر 2025 — تسعة أشهر بعد الإتمام.</t>
  </si>
  <si>
    <t xml:space="preserve">dania-emad</t>
  </si>
  <si>
    <t xml:space="preserve">دانيا عماد</t>
  </si>
  <si>
    <t xml:space="preserve">Dania Emad</t>
  </si>
  <si>
    <t xml:space="preserve">بصيرة (Basserah)</t>
  </si>
  <si>
    <t xml:space="preserve">مهندسة مبيعات البيانات والذكاء الاصطناعي</t>
  </si>
  <si>
    <t xml:space="preserve">Strengths: Employment after training 5/5, Employer / company profile 4/5, Specialization 4/5. Data Management track, cohort 2023; 11 months to outcome. Weak on: Time since training, Promotion.</t>
  </si>
  <si>
    <t xml:space="preserve">توظيف بدوام كامل «مهندسة مبيعات البيانات والذكاء الاصطناعي» في بصيرة في أكتوبر 2024 — أحد عشر شهرًا بعد الإتمام.</t>
  </si>
  <si>
    <t xml:space="preserve">aqeelah-makki</t>
  </si>
  <si>
    <t xml:space="preserve">عقيلة مكي</t>
  </si>
  <si>
    <t xml:space="preserve">Aqeelah Jaffar Makki</t>
  </si>
  <si>
    <t xml:space="preserve">Strengths: Employer / company profile 5/5, Employment after training 5/5, Measurable impact 5/5. GenAI / NVIDIA track, cohort 2023; 1 month to outcome. Weak on: Promotion.</t>
  </si>
  <si>
    <t xml:space="preserve">توظيف مهندسةَ ذكاء اصطناعي في سدايا بعد شهر واحد من إتمام معسكر ممارس LLM، ثم انتقال إلى هيوماين في مايو 2025، ومشاركة بحثية في معيار SawtArabi المعروض في Interspeech 2025.</t>
  </si>
  <si>
    <t xml:space="preserve">joud-alghamdi</t>
  </si>
  <si>
    <t xml:space="preserve">جود الغامدي</t>
  </si>
  <si>
    <t xml:space="preserve">Joud Musharraf Alghamdi</t>
  </si>
  <si>
    <t xml:space="preserve">Private Data Department</t>
  </si>
  <si>
    <t xml:space="preserve">Strengths: Employment after training 5/5, Specialization 5/5, Time since training 5/5. LLM track, cohort 2023; 1 month to outcome. Weak on: Promotion, Career transition.</t>
  </si>
  <si>
    <t xml:space="preserve">توظيف مهندسةَ ذكاء اصطناعي بدوام كامل بعد شهر واحد من إتمام المعسكر، ومستمرة فيه منذ ديسمبر 2023.</t>
  </si>
  <si>
    <t xml:space="preserve">Clear draft quote with graduate; Source photo; Add employer logo</t>
  </si>
  <si>
    <t xml:space="preserve">safiyah-alshammari</t>
  </si>
  <si>
    <t xml:space="preserve">صفية الشمري</t>
  </si>
  <si>
    <t xml:space="preserve">Safiyah Alshammari</t>
  </si>
  <si>
    <t xml:space="preserve">أرامكو السعودية</t>
  </si>
  <si>
    <t xml:space="preserve">محللة بيانات</t>
  </si>
  <si>
    <t xml:space="preserve">Strengths: Employer / company profile 5/5, Employment after training 5/5, Story completeness 4.6/5. Data Science &amp; AI (T5) track, cohort 2023; 7 months to outcome. Weak on: Promotion, Career transition.</t>
  </si>
  <si>
    <t xml:space="preserve">توظيف محللةَ بيانات في أرامكو السعودية في يوليو 2024 — سبعة أشهر بعد الإتمام.</t>
  </si>
  <si>
    <t xml:space="preserve">hoor-alshihi</t>
  </si>
  <si>
    <t xml:space="preserve">حور الشيحي</t>
  </si>
  <si>
    <t xml:space="preserve">Hoor Al-Shihi</t>
  </si>
  <si>
    <t xml:space="preserve">SITE سايت</t>
  </si>
  <si>
    <t xml:space="preserve">المركز الأول — مسابقة المبرمجين 2024</t>
  </si>
  <si>
    <t xml:space="preserve">Strengths: Employment after training 5/5, Measurable impact 5/5, Employer / company profile 4/5. Machine Learning track, cohort 2023; timing dated by year only. Weak on: Career transition.</t>
  </si>
  <si>
    <t xml:space="preserve">المركز الأول في مسابقة المبرمجين 2024 — داخل نافذة الأربعة عشر شهرًا من إتمام معسكر تعلم الآلة في ديسمبر 2023 — ثم المركز الأول في Jadathon 2025.</t>
  </si>
  <si>
    <t xml:space="preserve">rana-alshehri</t>
  </si>
  <si>
    <t xml:space="preserve">رنا الشهري</t>
  </si>
  <si>
    <t xml:space="preserve">Rana Alshehri</t>
  </si>
  <si>
    <t xml:space="preserve">مدينة الملك عبدالعزيز للعلوم والتقنية (KACST)</t>
  </si>
  <si>
    <t xml:space="preserve">مطوّرة ذكاء اصطناعي — كاكست (2025)، ثم برنامج الذكاء الاصطناعي الوكيلي بالأكاديمية السعودية الرقمية (2026)</t>
  </si>
  <si>
    <t xml:space="preserve">Strengths: Employer / company profile 5/5, Employment after training 5/5, Specialization 5/5. GenAI / NVIDIA track, cohort 2026; timing dated by year only. Weak on: Promotion, Career transition.</t>
  </si>
  <si>
    <t xml:space="preserve">خمس شهادات NVIDIA ثم اعتماد NCA-GENL في يناير 2026، ومخرج تطبيقي لاحق: منصة CRM وكيلة بُنيت لعميل فعلي — داخل نافذة الأربعة عشر شهرًا.</t>
  </si>
  <si>
    <t xml:space="preserve">hind-aljuaid</t>
  </si>
  <si>
    <t xml:space="preserve">هند الجعيد</t>
  </si>
  <si>
    <t xml:space="preserve">Hind Aljuaid</t>
  </si>
  <si>
    <t xml:space="preserve">مهندسة ذكاء اصطناعي وتعلم آلة — LLMOps / MLOps</t>
  </si>
  <si>
    <t xml:space="preserve">Strengths: Specialization 5/5, Employment after training 4/5, Measurable impact 4/5. GenAI / NVIDIA track, cohort 2026; timing dated by year only. Weak on: Promotion, Career transition.</t>
  </si>
  <si>
    <t xml:space="preserve">اعتماد NVIDIA NCA-GENL في يوليو 2026، ومنصة EduMentor AI، وجائزة Champion of the Week، والمركزان الثاني والثالث في مسابقات الأكاديمية — اعتراف مستقل داخل النافذة.</t>
  </si>
  <si>
    <t xml:space="preserve">shahad-altamimi</t>
  </si>
  <si>
    <t xml:space="preserve">شهد التميمي</t>
  </si>
  <si>
    <t xml:space="preserve">Shahad Altamimi</t>
  </si>
  <si>
    <t xml:space="preserve">Applied AI (AAI)</t>
  </si>
  <si>
    <t xml:space="preserve">Strengths: Evidence quality 4.5/5, Measurable impact 5/5, Employer / company profile 4/5. Applied AI (AAI) track, cohort 2026; 2 months to outcome. Weak on: Employment after training, Promotion.</t>
  </si>
  <si>
    <t xml:space="preserve">نظام SynAnchor لتصنيف الأجناس النصية العربية بلا تدريب مسبق: درجة رسمية على منصة Codabench في مهمة AraGenre 2026 المشتركة بلغت 0.6006 (macro-F1 هرمي) مقابل خط أساس رسمي 0.4658 — أي بعد شهرين ونصف من إتمام المعسكر وداخل نافذة الأربعة عشر شهرًا.</t>
  </si>
  <si>
    <t xml:space="preserve">haya-albaqami</t>
  </si>
  <si>
    <t xml:space="preserve">هيا البقمي</t>
  </si>
  <si>
    <t xml:space="preserve">Haya Albaqami</t>
  </si>
  <si>
    <t xml:space="preserve">هيئة الزكاة والضريبة والجمارك (ZATCA)</t>
  </si>
  <si>
    <t xml:space="preserve">مهندسة بيانات — تحليلات المخاطر والبيانات التنظيمية</t>
  </si>
  <si>
    <t xml:space="preserve">Strengths: Employer / company profile 5/5, Employment after training 5/5, Story completeness 4.8/5. Machine Learning track, cohort 2023; 11 months to outcome. Weak on: Time since training, Promotion.</t>
  </si>
  <si>
    <t xml:space="preserve">الالتحاق بهيئة الزكاة والضريبة والجمارك مهندسةَ بيانات في سبتمبر 2024 — أحد عشر شهرًا بعد إتمام معسكر ممارس تعلم الآلة، وداخل نافذة الأربعة عشر شهرًا بتاريخ مؤكد بمستوى الشهر.</t>
  </si>
  <si>
    <t xml:space="preserve">khaled-almutairy</t>
  </si>
  <si>
    <t xml:space="preserve">خالد المطيري</t>
  </si>
  <si>
    <t xml:space="preserve">Khaled Almutairy</t>
  </si>
  <si>
    <t xml:space="preserve">عالم أبحاث ذكاء اصطناعي (AI Research Scientist)</t>
  </si>
  <si>
    <t xml:space="preserve">Strengths: Employer / company profile 5/5, Employment after training 5/5, Specialization 5/5. GenAI / NVIDIA track, cohort 2025; 1 month to outcome. Weak on: Promotion.</t>
  </si>
  <si>
    <t xml:space="preserve">انتقال مهني كامل بعد شهر واحد من الإتمام: من مدير مشاريع في TERA Systems (نوفمبر 2021 – سبتمبر 2025) إلى عالم أبحاث ذكاء اصطناعي في شركة علم بدوام كامل من سبتمبر 2025.</t>
  </si>
  <si>
    <t xml:space="preserve">mohammed-albrayh</t>
  </si>
  <si>
    <t xml:space="preserve">محمد البريح</t>
  </si>
  <si>
    <t xml:space="preserve">Mohammed Albrayh</t>
  </si>
  <si>
    <t xml:space="preserve">مهندس ذكاء اصطناعي</t>
  </si>
  <si>
    <t xml:space="preserve">Strengths: Specialization 5/5, Employment after training 4/5, Story completeness 4.8/5. LLM track, cohort 2024; 3 months to outcome. Weak on: Promotion.</t>
  </si>
  <si>
    <t xml:space="preserve">التحاقه بسدايا مهندسَ ذكاء اصطناعي بدوام كامل في ديسمبر 2024 — بعد ثلاثة أشهر من إتمام التدريب الاحترافي في النماذج اللغوية الكبيرة، وداخل نافذة الأربعة عشر شهرًا.</t>
  </si>
  <si>
    <t xml:space="preserve">rayan-dahlawi</t>
  </si>
  <si>
    <t xml:space="preserve">ريان دحلوي</t>
  </si>
  <si>
    <t xml:space="preserve">Rayan Dahlawi</t>
  </si>
  <si>
    <t xml:space="preserve">عبداللطيف جميل المتحدة للتمويل</t>
  </si>
  <si>
    <t xml:space="preserve">أخصائي علوم بيانات (ذكاء اصطناعي وذكاء الأعمال)</t>
  </si>
  <si>
    <t xml:space="preserve">Strengths: Employment after training 5/5, Employer / company profile 4/5, Specialization 5/5. LLM track, cohort 2024; 5 months to outcome. Weak on: Promotion.</t>
  </si>
  <si>
    <t xml:space="preserve">التحاقه بعبداللطيف جميل المتحدة للتمويل أخصائيَّ علوم بيانات (ذكاء اصطناعي وذكاء أعمال) بدوام كامل في مايو 2024 — بعد خمسة أشهر من إتمام المعسكر، وداخل نافذة الأربعة عشر شهرًا.</t>
  </si>
  <si>
    <t xml:space="preserve">farah-alsuwayeh</t>
  </si>
  <si>
    <t xml:space="preserve">فرح السويح</t>
  </si>
  <si>
    <t xml:space="preserve">Farah Alsuwayeh</t>
  </si>
  <si>
    <t xml:space="preserve">السعودية للطاقة</t>
  </si>
  <si>
    <t xml:space="preserve">محللة ذكاء اصطناعي — إدارة تطوير حلول الذكاء الاصطناعي</t>
  </si>
  <si>
    <t xml:space="preserve">Strengths: Employer / company profile 5/5, Employment after training 5/5, Specialization 5/5. LLM track, cohort 2023; 1 month to outcome. Weak on: Promotion.</t>
  </si>
  <si>
    <t xml:space="preserve">انتقال إلى جهة عمل جديدة بدوام كامل «محللة ذكاء اصطناعي» في الشركة السعودية للكهرباء (السعودية للطاقة حاليًا) في ديسمبر 2023 — شهر واحد بعد إتمام المعسكر.</t>
  </si>
  <si>
    <t xml:space="preserve">miad-altowairqi</t>
  </si>
  <si>
    <t xml:space="preserve">ميعاد الطويرقي</t>
  </si>
  <si>
    <t xml:space="preserve">Miad Altowairqi</t>
  </si>
  <si>
    <t xml:space="preserve">بارنز (Barns)</t>
  </si>
  <si>
    <t xml:space="preserve">Strengths: Employment after training 5/5, Time since training 5/5, Story completeness 4.3/5. Data Science &amp; AI (T5) track, cohort 2023; 2 months to outcome. Weak on: Promotion, Career transition.</t>
  </si>
  <si>
    <t xml:space="preserve">توظيف بدوام كامل «محللة بيانات» في بارنز في فبراير 2024 — شهران بعد إتمام المعسكر.</t>
  </si>
  <si>
    <t xml:space="preserve">meshal-aldalbahi</t>
  </si>
  <si>
    <t xml:space="preserve">مشعل الدلبحي</t>
  </si>
  <si>
    <t xml:space="preserve">Meshal Aldalbahi</t>
  </si>
  <si>
    <t xml:space="preserve">هيئة تنمية البحث والتطوير والابتكار (RDI)</t>
  </si>
  <si>
    <t xml:space="preserve">محلل بيانات</t>
  </si>
  <si>
    <t xml:space="preserve">Strengths: Employment after training 5/5, Employer / company profile 4/5, Specialization 4/5. Data Science &amp; AI (T5) track, cohort 2024; 8 months to outcome. Weak on: Promotion, Career transition.</t>
  </si>
  <si>
    <t xml:space="preserve">توظيف بدوام كامل «محلل بيانات» في هيئة تنمية البحث والتطوير والابتكار في مايو 2025 — ثمانية أشهر بعد إتمام المعسكر.</t>
  </si>
  <si>
    <t xml:space="preserve">marwah-ali</t>
  </si>
  <si>
    <t xml:space="preserve">مروة علي</t>
  </si>
  <si>
    <t xml:space="preserve">Marwah Ali</t>
  </si>
  <si>
    <t xml:space="preserve">نبّه (Nabeh)</t>
  </si>
  <si>
    <t xml:space="preserve">Strengths: Employment after training 5/5, Specialization 5/5, Strategic relevance 4/5. Advanced AI Pathways track, cohort 2024; 6 months to outcome. Weak on: Promotion, Career transition.</t>
  </si>
  <si>
    <t xml:space="preserve">توظيف بدوام كامل «مهندسة ذكاء اصطناعي» في نبّه في مايو 2025 — ستة أشهر بعد إتمام مسار التعلم العميق.</t>
  </si>
  <si>
    <t xml:space="preserve">randa-almohammadi</t>
  </si>
  <si>
    <t xml:space="preserve">رندا المحمدي</t>
  </si>
  <si>
    <t xml:space="preserve">Randa Almohammadi</t>
  </si>
  <si>
    <t xml:space="preserve">United Feed Manufacturing Company (UFMC)</t>
  </si>
  <si>
    <t xml:space="preserve">Strengths: Employment after training 5/5, Specialization 4/5, Story completeness 4/5. Data Science &amp; AI (T5) track, cohort 2021; 14 months to outcome. Weak on: Time since training, Promotion.</t>
  </si>
  <si>
    <t xml:space="preserve">توظيف بدوام كامل «محللة بيانات» في United Feed Manufacturing Company في فبراير 2023 — في الشهر الرابع عشر بعد إتمام المعسكر.</t>
  </si>
  <si>
    <t xml:space="preserve">saleh-altuwaijri</t>
  </si>
  <si>
    <t xml:space="preserve">صالح التويجري</t>
  </si>
  <si>
    <t xml:space="preserve">Saleh Altuwaijri</t>
  </si>
  <si>
    <t xml:space="preserve">مهندس بيانات وذكاء اصطناعي</t>
  </si>
  <si>
    <t xml:space="preserve">Strengths: Employment after training 5/5, Employer / company profile 4/5, Specialization 5/5. Data Science &amp; AI (T5) track, cohort 2024; 10 months to outcome. Weak on: Promotion.</t>
  </si>
  <si>
    <t xml:space="preserve">انتقال إلى «Data &amp; AI Engineer» بدوام كامل في المركز الوطني لنظم الموارد الحكومية (NCGR) في سبتمبر 2025 — بعد عشرة أشهر من إتمام المعسكر.</t>
  </si>
  <si>
    <t xml:space="preserve">majid-almadani</t>
  </si>
  <si>
    <t xml:space="preserve">ماجد المدني</t>
  </si>
  <si>
    <t xml:space="preserve">Majid Almadani</t>
  </si>
  <si>
    <t xml:space="preserve">البنك السعودي للاستثمار (SAIB)</t>
  </si>
  <si>
    <t xml:space="preserve">أخصائي أول تحليلات متقدمة وذكاء اصطناعي</t>
  </si>
  <si>
    <t xml:space="preserve">Strengths: Employment after training 5/5, Employer / company profile 4/5, Specialization 5/5. Data Science &amp; AI (T5) track, cohort 2024; 12 months to outcome. Weak on: Time since training, Career transition.</t>
  </si>
  <si>
    <t xml:space="preserve">ترقية إلى «Senior Specialist Advanced Analytics &amp; AI» في البنك السعودي للاستثمار في أكتوبر 2025 — بعد اثني عشر شهرًا من إتمام المعسكر.</t>
  </si>
  <si>
    <t xml:space="preserve">meead-alshaibani</t>
  </si>
  <si>
    <t xml:space="preserve">ميعاد الشيباني</t>
  </si>
  <si>
    <t xml:space="preserve">Meead Alshaibani</t>
  </si>
  <si>
    <t xml:space="preserve">صندوق التنمية العقارية (REDF)</t>
  </si>
  <si>
    <t xml:space="preserve">Strengths: Employment after training 5/5, Employer / company profile 4/5, Specialization 5/5. GenAI / NVIDIA track, cohort 2026; 4 months to outcome. Weak on: Promotion, Career transition.</t>
  </si>
  <si>
    <t xml:space="preserve">تعيين بدوام كامل «مهندسة ذكاء اصطناعي» في صندوق التنمية العقارية في يونيو 2026 — بعد أربعة أشهر من إتمام البرنامج.</t>
  </si>
  <si>
    <t xml:space="preserve">hamad-alrashid</t>
  </si>
  <si>
    <t xml:space="preserve">حمد الرشيد</t>
  </si>
  <si>
    <t xml:space="preserve">Hamad Alrashid</t>
  </si>
  <si>
    <t xml:space="preserve">عالم بيانات ← مهندس ذكاء اصطناعي</t>
  </si>
  <si>
    <t xml:space="preserve">Oxford AI</t>
  </si>
  <si>
    <t xml:space="preserve">Strengths: Employment after training 5/5, Employer / company profile 4/5, Specialization 5/5. Oxford AI track, cohort 2025; timing dated by year only. Weak on: Promotion, Career transition.</t>
  </si>
  <si>
    <t xml:space="preserve">توظيف بدوام كامل «عالم بيانات» في جاهز في نوفمبر 2025 — بعد شهر من إتمام البرنامج — ثم «مهندس ذكاء اصطناعي» في موج (فبراير 2026).</t>
  </si>
  <si>
    <t xml:space="preserve">nujud-senan</t>
  </si>
  <si>
    <t xml:space="preserve">نجود سنان</t>
  </si>
  <si>
    <t xml:space="preserve">Nujud Senan</t>
  </si>
  <si>
    <t xml:space="preserve">قمة الابتكار الكمّي — دبي (Quantum Innovation Summit)</t>
  </si>
  <si>
    <t xml:space="preserve">قائدة فريق مشروع ذكاء اصطناعي هجين كمّي</t>
  </si>
  <si>
    <t xml:space="preserve">Strengths: Employer / company profile 5/5, Specialization 5/5, Measurable impact 4/5. Data Science &amp; AI (T5) track, cohort 2024; 5 months to outcome. Weak on: Career transition.</t>
  </si>
  <si>
    <t xml:space="preserve">جائزة قمة الابتكار الكمّي في دبي (مارس 2025) عن مشروع «ذكاء اصطناعي هجين كمّي للتنبؤ بالشيخوخة البيولوجية» — بعد خمسة أشهر من إتمام المعسكر.</t>
  </si>
  <si>
    <t xml:space="preserve">abdullah-alowayyid</t>
  </si>
  <si>
    <t xml:space="preserve">عبدالله العويد</t>
  </si>
  <si>
    <t xml:space="preserve">Abdullah Alowayyid</t>
  </si>
  <si>
    <t xml:space="preserve">البنك العربي الوطني (ANB)</t>
  </si>
  <si>
    <t xml:space="preserve">أخصائي تجزئة / محلل بيانات</t>
  </si>
  <si>
    <t xml:space="preserve">Strengths: Employment after training 5/5, Employer / company profile 4/5, Story completeness 5/5. Data Management track, cohort 2023; 8 months to outcome. Weak on: Promotion, Career transition.</t>
  </si>
  <si>
    <t xml:space="preserve">التحاق بالبنك العربي الوطني «أخصائي تجزئة / محلل بيانات» في أغسطس 2024 — بعد ثمانية أشهر من إتمام آخر برامجه في الأكاديمية.</t>
  </si>
  <si>
    <t xml:space="preserve">hassan-abid</t>
  </si>
  <si>
    <t xml:space="preserve">حسن عبدالباسط عابد</t>
  </si>
  <si>
    <t xml:space="preserve">Hassan Abdulbasit Abid</t>
  </si>
  <si>
    <t xml:space="preserve">استشاري بيانات (Data Consultant)</t>
  </si>
  <si>
    <t xml:space="preserve">Strengths: Employment after training 5/5, Employer / company profile 4/5, Time since training 5/5. LLM track, cohort 2024; 1 month to outcome. Weak on: Promotion, Career transition.</t>
  </si>
  <si>
    <t xml:space="preserve">التحاق بشركة Devoteam «استشاري بيانات» بدوام كامل في نوفمبر 2024 — بعد شهر واحد من إتمام معسكر T5.</t>
  </si>
  <si>
    <t xml:space="preserve">noura-alghonaim</t>
  </si>
  <si>
    <t xml:space="preserve">نورة غنيم الغنيم</t>
  </si>
  <si>
    <t xml:space="preserve">Noura Ghonaim AlGhonaim</t>
  </si>
  <si>
    <t xml:space="preserve">Netways</t>
  </si>
  <si>
    <t xml:space="preserve">مهندسة ذكاء اصطناعي (Artificial Intelligence Engineer)</t>
  </si>
  <si>
    <t xml:space="preserve">Strengths: Employment after training 5/5, Specialization 5/5, Time since training 5/5. Machine Learning track, cohort 2023; 1 month to outcome. Weak on: Promotion, Career transition.</t>
  </si>
  <si>
    <t xml:space="preserve">التحاق بشركة Netways «مهندسة ذكاء اصطناعي» في ديسمبر 2023 — بعد شهر واحد من إتمام برنامجها في الأكاديمية.</t>
  </si>
  <si>
    <t xml:space="preserve">dina-bokhamseen</t>
  </si>
  <si>
    <t xml:space="preserve">دينا بوخمسين</t>
  </si>
  <si>
    <t xml:space="preserve">Dina Bokhamseen</t>
  </si>
  <si>
    <t xml:space="preserve">محللة بيانات وذكاء اصطناعي (Data &amp; AI Analyst)</t>
  </si>
  <si>
    <t xml:space="preserve">Strengths: Employment after training 5/5, Employer / company profile 4/5, Specialization 5/5. Data Science &amp; AI (T5) track, cohort 2023; 4 months to outcome. Weak on: Promotion, Career transition.</t>
  </si>
  <si>
    <t xml:space="preserve">التحاق بأكسنتشر الشرق الأوسط «محللة بيانات وذكاء اصطناعي» بدوام كامل في أبريل 2024 — بعد أربعة أشهر من إتمام معسكر T5.</t>
  </si>
  <si>
    <t xml:space="preserve">maha-aladwani</t>
  </si>
  <si>
    <t xml:space="preserve">مها العدواني</t>
  </si>
  <si>
    <t xml:space="preserve">Maha Aladwani</t>
  </si>
  <si>
    <t xml:space="preserve">محللة بيانات (Data Analyst — عقد)</t>
  </si>
  <si>
    <t xml:space="preserve">Strengths: Employer / company profile 5/5, Employment after training 5/5, Time since training 5/5. Data Science &amp; AI (T5) track, cohort 2022; 2 months to outcome. Weak on: Promotion, Career transition.</t>
  </si>
  <si>
    <t xml:space="preserve">عقد «محللة بيانات» مع صندوق الاستثمارات العامة في مارس 2022 — بعد شهرين من إتمام معسكر T5.</t>
  </si>
  <si>
    <t xml:space="preserve">elaf-talal</t>
  </si>
  <si>
    <t xml:space="preserve">إيلاف طلال</t>
  </si>
  <si>
    <t xml:space="preserve">Elaf Talal</t>
  </si>
  <si>
    <t xml:space="preserve">مستشارة ذكاء اصطناعي (AI Consultant)</t>
  </si>
  <si>
    <t xml:space="preserve">Strengths: Employment after training 5/5, Employer / company profile 4/5, Specialization 5/5. Data Science &amp; AI (T5) track, cohort 2022; 7 months to outcome. Weak on: Promotion, Career transition.</t>
  </si>
  <si>
    <t xml:space="preserve">التحاق بشركة Devoteam «مستشارة ذكاء اصطناعي» بدوام كامل في أغسطس 2022 — بعد سبعة أشهر من إتمام معسكر T5.</t>
  </si>
  <si>
    <t xml:space="preserve">wejdan-mangl</t>
  </si>
  <si>
    <t xml:space="preserve">وجدان منقل</t>
  </si>
  <si>
    <t xml:space="preserve">Wejdan Mangl</t>
  </si>
  <si>
    <t xml:space="preserve">Strengths: Employer / company profile 5/5, Employment after training 5/5, Specialization 4/5. AI Summer Champions track, cohort 2022; 13 months to outcome. Weak on: Time since training, Career transition.</t>
  </si>
  <si>
    <t xml:space="preserve">التحاق بشركة علم «محللة بيانات» بدوام كامل في أغسطس 2023 — بعد ثلاثة عشر شهرًا من إتمام البرنامج — ثم ترقية إلى محللة بيانات أولى (يونيو 2025).</t>
  </si>
  <si>
    <t xml:space="preserve">abdulrahman-alghofaily</t>
  </si>
  <si>
    <t xml:space="preserve">عبدالرحمن الغفيلي</t>
  </si>
  <si>
    <t xml:space="preserve">Abdulrahman Alghofaily</t>
  </si>
  <si>
    <t xml:space="preserve">GeoTech</t>
  </si>
  <si>
    <t xml:space="preserve">Strengths: Employment after training 5/5, Specialization 5/5, Time since training 5/5. Data Science &amp; AI (T5) track, cohort 2023; 1 month to outcome. Weak on: Promotion, Career transition.</t>
  </si>
  <si>
    <t xml:space="preserve">التحاق بشركة GeoTech «عالم بيانات» بدوام كامل في يناير 2024 — بعد شهر واحد من إتمام معسكر T5 — ثم مهندس ذكاء اصطناعي (يناير 2026).</t>
  </si>
  <si>
    <t xml:space="preserve">awatef-alsulami</t>
  </si>
  <si>
    <t xml:space="preserve">عواطف السلمي</t>
  </si>
  <si>
    <t xml:space="preserve">Awatef Alsulami</t>
  </si>
  <si>
    <t xml:space="preserve">الربيع السعودية للأغذية (Al Rabie)</t>
  </si>
  <si>
    <t xml:space="preserve">أخصائية البيانات الرئيسية (Master Data Specialist)</t>
  </si>
  <si>
    <t xml:space="preserve">Strengths: Employment after training 5/5, Specialization 4/5. Data Science &amp; AI (T5) track, cohort 2024; 7 months to outcome. Weak on: Career transition.</t>
  </si>
  <si>
    <t xml:space="preserve">التحاقها بالربيع السعودية للأغذية (Al Rabie) «أخصائية البيانات الرئيسية» في مايو 2025 — بعد سبعة أشهر من الإتمام.</t>
  </si>
  <si>
    <t xml:space="preserve">abdulaziz-alenazi</t>
  </si>
  <si>
    <t xml:space="preserve">عبدالعزيز العنزي</t>
  </si>
  <si>
    <t xml:space="preserve">Abdulaziz Alenazi</t>
  </si>
  <si>
    <t xml:space="preserve">لوسيديا (Lucidya)</t>
  </si>
  <si>
    <t xml:space="preserve">مهندس ذكاء اصطناعي (AI Engineer)</t>
  </si>
  <si>
    <t xml:space="preserve">Strengths: Employment after training 5/5, Employer / company profile 4/5, Specialization 5/5. LLM track, cohort 2024; 3 months to outcome. Weak on: Promotion, Career transition.</t>
  </si>
  <si>
    <t xml:space="preserve">التحاقه بلوسيديا (Lucidya) «مهندس ذكاء اصطناعي» في ديسمبر 2024 — بعد ثلاثة أشهر من الإتمام.</t>
  </si>
  <si>
    <t xml:space="preserve">ghada-a-alshuwaier</t>
  </si>
  <si>
    <t xml:space="preserve">غادة الشويعر</t>
  </si>
  <si>
    <t xml:space="preserve">Ghada A. Alshuwaier</t>
  </si>
  <si>
    <t xml:space="preserve">مهندسة عمليات إدارة البيانات (Data Management Operations Engineer)</t>
  </si>
  <si>
    <t xml:space="preserve">Strengths: Employment after training 5/5, Employer / company profile 4/5, Time since training 5/5. Data Science &amp; AI (T5) track, cohort 2024; 1 month to outcome. Weak on: Promotion, Career transition.</t>
  </si>
  <si>
    <t xml:space="preserve">التحاقها بالمركز الوطني لنظم الموارد الحكومية (NCGR) «مهندسة عمليات إدارة البيانات» في يوليو 2024 — بعد شهر واحد من الإتمام.</t>
  </si>
  <si>
    <t xml:space="preserve">maali-altulayhi</t>
  </si>
  <si>
    <t xml:space="preserve">معالي التليهي</t>
  </si>
  <si>
    <t xml:space="preserve">Maali Altulayhi</t>
  </si>
  <si>
    <t xml:space="preserve">علوم البيانات (Data Science)</t>
  </si>
  <si>
    <t xml:space="preserve">Strengths: Specialization 5/5, Employment after training 4/5, Time since training 4/5. Data Science &amp; AI (T5) track, cohort 2023; 3 months to outcome. Weak on: Promotion, Career transition.</t>
  </si>
  <si>
    <t xml:space="preserve">التحاقها بسدايا «علوم البيانات» في مارس 2024 — بعد ثلاثة أشهر من الإتمام.</t>
  </si>
  <si>
    <t xml:space="preserve">dhuha-alabdulwahab</t>
  </si>
  <si>
    <t xml:space="preserve">ضحى العبدالوهاب</t>
  </si>
  <si>
    <t xml:space="preserve">Dhuha Alabdulwahab</t>
  </si>
  <si>
    <t xml:space="preserve">نايس ون (NICE ONE)</t>
  </si>
  <si>
    <t xml:space="preserve">Strengths: Employment after training 5/5, Specialization 4/5. Data Science &amp; AI (T5) track, cohort 2023; 9 months to outcome. Weak on: Promotion, Career transition.</t>
  </si>
  <si>
    <t xml:space="preserve">التحاقها بنايس ون (NICE ONE) «محللة بيانات» في سبتمبر 2024 — بعد تسعة أشهر من الإتمام.</t>
  </si>
  <si>
    <t xml:space="preserve">abdulrahman-aljubaylan</t>
  </si>
  <si>
    <t xml:space="preserve">عبدالرحمن الجبيلان</t>
  </si>
  <si>
    <t xml:space="preserve">Abdulrahman Aljubaylan</t>
  </si>
  <si>
    <t xml:space="preserve">الهيئة العامة للغذاء والدواء (SFDA)</t>
  </si>
  <si>
    <t xml:space="preserve">أخصائي البيانات والتقارير (Data &amp; Reports Specialist)</t>
  </si>
  <si>
    <t xml:space="preserve">Strengths: Employer / company profile 5/5, Employment after training 5/5, Specialization 4/5. Data Science &amp; AI (T5) track, cohort 2021; 6 months to outcome. Weak on: Promotion, Career transition.</t>
  </si>
  <si>
    <t xml:space="preserve">التحاقه بالهيئة العامة للغذاء والدواء (SFDA) «أخصائي البيانات والتقارير» في يونيو 2022 — بعد ستة أشهر من الإتمام.</t>
  </si>
  <si>
    <t xml:space="preserve">jana-sadawi</t>
  </si>
  <si>
    <t xml:space="preserve">جنى سعداوي</t>
  </si>
  <si>
    <t xml:space="preserve">Jana Sadawi</t>
  </si>
  <si>
    <t xml:space="preserve">SDM</t>
  </si>
  <si>
    <t xml:space="preserve">Strengths: Employment after training 5/5, Specialization 5/5, Time since training 4/5. Data Science &amp; AI (T5) track, cohort 2024; 4 months to outcome. Weak on: Promotion, Career transition.</t>
  </si>
  <si>
    <t xml:space="preserve">التحاقها بـSDM «مهندسة ذكاء اصطناعي» في أكتوبر 2024 — بعد أربعة أشهر من الإتمام.</t>
  </si>
  <si>
    <t xml:space="preserve">faten-aldossary</t>
  </si>
  <si>
    <t xml:space="preserve">فاتن الدوسري</t>
  </si>
  <si>
    <t xml:space="preserve">Faten Aldossary</t>
  </si>
  <si>
    <t xml:space="preserve">Strengths: Employer / company profile 5/5, Employment after training 5/5, Specialization 5/5. Data Science &amp; AI (T5) track, cohort 2021; 1 month to outcome. Weak on: Promotion, Career transition.</t>
  </si>
  <si>
    <t xml:space="preserve">التحاقها بسابك «عالمة بيانات» في يناير 2022 — بعد شهر واحد من الإتمام.</t>
  </si>
  <si>
    <t xml:space="preserve">suad-alsomali</t>
  </si>
  <si>
    <t xml:space="preserve">سعاد الصومالي</t>
  </si>
  <si>
    <t xml:space="preserve">Suad Alsomali</t>
  </si>
  <si>
    <t xml:space="preserve">مستشارة مشاركة في إدارة البيانات وحوكمتها (Associate Data Management &amp; Governance Consultant)</t>
  </si>
  <si>
    <t xml:space="preserve">Strengths: Employment after training 5/5, Specialization 4/5, Time since training 4/5. Data Science &amp; AI (T5) track, cohort 2023; 4 months to outcome. Weak on: Promotion, Career transition.</t>
  </si>
  <si>
    <t xml:space="preserve">التحاقها بمجموعة ريناد المجد لتقنية المعلومات RMG «مستشارة مشاركة في إدارة البيانات وحوكمتها» في أبريل 2024 — بعد أربعة أشهر من الإتمام.</t>
  </si>
  <si>
    <t xml:space="preserve">layan-alorayyidh</t>
  </si>
  <si>
    <t xml:space="preserve">ليان العريض</t>
  </si>
  <si>
    <t xml:space="preserve">Layan Alorayyidh</t>
  </si>
  <si>
    <t xml:space="preserve">مطوّرة حلول ذكاء اصطناعي (AI Solution Developer)</t>
  </si>
  <si>
    <t xml:space="preserve">Strengths: Employment after training 5/5, Employer / company profile 4/5, Specialization 5/5. Data Science &amp; AI (T5) track, cohort 2023; 14 months to outcome. Weak on: Time since training, Promotion.</t>
  </si>
  <si>
    <t xml:space="preserve">التحاقها بمصرف الإنماء «مطوّرة حلول ذكاء اصطناعي» في فبراير 2025 — بعد أربعة عشر شهرًا من الإتمام.</t>
  </si>
  <si>
    <t xml:space="preserve">khuzama-alkhowaiter</t>
  </si>
  <si>
    <t xml:space="preserve">خزامى الخويطر</t>
  </si>
  <si>
    <t xml:space="preserve">Khuzama Alkhowaiter</t>
  </si>
  <si>
    <t xml:space="preserve">Strengths: Employment after training 5/5, Specialization 5/5. Data Science &amp; AI (T5) track, cohort 2024; 11 months to outcome. Weak on: Time since training, Promotion.</t>
  </si>
  <si>
    <t xml:space="preserve">التحاقها بنايس ون (NICE ONE) «عالمة بيانات» في سبتمبر 2025 — بعد أحد عشر شهرًا من الإتمام.</t>
  </si>
  <si>
    <t xml:space="preserve">faisal-alharbi</t>
  </si>
  <si>
    <t xml:space="preserve">فيصل الحربي</t>
  </si>
  <si>
    <t xml:space="preserve">Faisal Alharbi</t>
  </si>
  <si>
    <t xml:space="preserve">محلل بيانات التوظيف (Recruitment Data Analyst)</t>
  </si>
  <si>
    <t xml:space="preserve">Strengths: Employment after training 5/5, Employer / company profile 4/5, Specialization 4/5. Data Science &amp; AI (T5) track, cohort 2024; 12 months to outcome. Weak on: Time since training, Promotion.</t>
  </si>
  <si>
    <t xml:space="preserve">التحاقه بالبنك العربي الوطني (ANB) «محلل بيانات التوظيف» في يونيو 2025 — بعد اثني عشر شهرًا من الإتمام.</t>
  </si>
  <si>
    <t xml:space="preserve">mazen-tawhari</t>
  </si>
  <si>
    <t xml:space="preserve">مازن طوهري</t>
  </si>
  <si>
    <t xml:space="preserve">Mazen Tawhari</t>
  </si>
  <si>
    <t xml:space="preserve">Strengths: Employer / company profile 5/5, Employment after training 5/5, Specialization 5/5. Fresh Graduate Bootcamp track, cohort 2023; 3 months to outcome. Weak on: Promotion, Career transition.</t>
  </si>
  <si>
    <t xml:space="preserve">التحاقه بالمركز الوطني للذكاء الاصطناعي (NCAI) «مهندس ذكاء اصطناعي» في ديسمبر 2023 — بعد ثلاثة أشهر من الإتمام.</t>
  </si>
  <si>
    <t xml:space="preserve">noura-alsaqer</t>
  </si>
  <si>
    <t xml:space="preserve">نورة الصقر</t>
  </si>
  <si>
    <t xml:space="preserve">Noura Alsaqer</t>
  </si>
  <si>
    <t xml:space="preserve">Strengths: Specialization 5/5, Employment after training 4/5, Time since training 4/5. AI Summer Champions track, cohort 2023; 3 months to outcome. Weak on: Promotion, Career transition.</t>
  </si>
  <si>
    <t xml:space="preserve">التحاقها بسدايا «مهندسة ذكاء اصطناعي» في ديسمبر 2023 — بعد ثلاثة أشهر من الإتمام.</t>
  </si>
  <si>
    <t xml:space="preserve">jana-alomayri</t>
  </si>
  <si>
    <t xml:space="preserve">جنى العميري</t>
  </si>
  <si>
    <t xml:space="preserve">Jana Alomayri</t>
  </si>
  <si>
    <t xml:space="preserve">مطوّرة ServiceNow (ServiceNow Developer)</t>
  </si>
  <si>
    <t xml:space="preserve">Strengths: Employment after training 4/5, Specialization 4/5, Time since training 4/5. ServiceNow track, cohort 2025; 3 months to outcome. Weak on: Promotion, Career transition.</t>
  </si>
  <si>
    <t xml:space="preserve">التحاقها بسدايا «مطوّرة ServiceNow» في فبراير 2026 — بعد ثلاثة أشهر من الإتمام.</t>
  </si>
  <si>
    <t xml:space="preserve">sultan-almgablh</t>
  </si>
  <si>
    <t xml:space="preserve">سلطان المقابلة</t>
  </si>
  <si>
    <t xml:space="preserve">Sultan Almgablh</t>
  </si>
  <si>
    <t xml:space="preserve">المركز الوطني للنخيل والتمور (NCPD)</t>
  </si>
  <si>
    <t xml:space="preserve">أخصائي إدارة البيانات (Data Management Specialist)</t>
  </si>
  <si>
    <t xml:space="preserve">Strengths: Employment after training 5/5, Employer / company profile 4/5, Specialization 4/5. Data Management track, cohort 2023; 6 months to outcome. Weak on: Promotion, Career transition.</t>
  </si>
  <si>
    <t xml:space="preserve">التحاقه بالمركز الوطني للنخيل والتمور (NCPD) «أخصائي إدارة البيانات» في مايو 2024 — بعد ستة أشهر من الإتمام.</t>
  </si>
  <si>
    <t xml:space="preserve">raghad-alsebayyil</t>
  </si>
  <si>
    <t xml:space="preserve">رغد السبيل</t>
  </si>
  <si>
    <t xml:space="preserve">Raghad Alsebayyil</t>
  </si>
  <si>
    <t xml:space="preserve">anwar-alsharari</t>
  </si>
  <si>
    <t xml:space="preserve">أنوار الشراري</t>
  </si>
  <si>
    <t xml:space="preserve">Anwar Alsharari</t>
  </si>
  <si>
    <t xml:space="preserve">عزم السعودية (Saudi Azm)</t>
  </si>
  <si>
    <t xml:space="preserve">أخصائية إدارة البيانات (Data Management Specialist)</t>
  </si>
  <si>
    <t xml:space="preserve">Strengths: Employment after training 5/5, Specialization 4/5, Time since training 4/5. Data Science &amp; AI (T5) track, cohort 2024; 3 months to outcome. Weak on: Promotion, Career transition.</t>
  </si>
  <si>
    <t xml:space="preserve">التحاقها بعزم السعودية (Saudi Azm) «أخصائية إدارة البيانات» في سبتمبر 2024 — بعد ثلاثة أشهر من الإتمام.</t>
  </si>
  <si>
    <t xml:space="preserve">nada-ahmed</t>
  </si>
  <si>
    <t xml:space="preserve">ندى أحمد</t>
  </si>
  <si>
    <t xml:space="preserve">Nada Ahmed</t>
  </si>
  <si>
    <t xml:space="preserve">Strengths: Employer / company profile 5/5, Employment after training 5/5, Specialization 4/5. Data Science &amp; AI (T5) track, cohort 2024; 3 months to outcome. Weak on: Promotion, Career transition.</t>
  </si>
  <si>
    <t xml:space="preserve">التحاقها بالهيئة العامة للإحصاء GASTAT «محللة بيانات» في سبتمبر 2024 — بعد ثلاثة أشهر من الإتمام.</t>
  </si>
  <si>
    <t xml:space="preserve">saleh-alanazi</t>
  </si>
  <si>
    <t xml:space="preserve">صالح العنزي</t>
  </si>
  <si>
    <t xml:space="preserve">Saleh Alanazi</t>
  </si>
  <si>
    <t xml:space="preserve">بيانات وأعمال (DataPlus)</t>
  </si>
  <si>
    <t xml:space="preserve">أخصائي بيانات وذكاء اصطناعي (Data &amp; AI Specialist)</t>
  </si>
  <si>
    <t xml:space="preserve">Strengths: Employment after training 5/5, Specialization 5/5, Time since training 5/5. Data Science &amp; AI (T5) track, cohort 2024; 1 month to outcome. Weak on: Promotion, Career transition.</t>
  </si>
  <si>
    <t xml:space="preserve">التحاقه ببيانات وأعمال (DataPlus) «أخصائي بيانات وذكاء اصطناعي» في نوفمبر 2024 — بعد شهر واحد من الإتمام.</t>
  </si>
  <si>
    <t xml:space="preserve">raghad-sultan</t>
  </si>
  <si>
    <t xml:space="preserve">رغد سلطان</t>
  </si>
  <si>
    <t xml:space="preserve">Raghad Sultan</t>
  </si>
  <si>
    <t xml:space="preserve">Strengths: Employment after training 5/5, Employer / company profile 4/5, Specialization 4/5. Data Science &amp; AI (T5) track, cohort 2024; 4 months to outcome. Weak on: Promotion, Career transition.</t>
  </si>
  <si>
    <t xml:space="preserve">التحاقها بشركة الإلكترونيات المتقدمة (SAMI Advanced Electronics) «أخصائية تحليل بيانات» في أكتوبر 2024 — بعد أربعة أشهر من الإتمام.</t>
  </si>
  <si>
    <t xml:space="preserve">abeer-alghamdi</t>
  </si>
  <si>
    <t xml:space="preserve">عبير الغامدي</t>
  </si>
  <si>
    <t xml:space="preserve">Abeer Al-Ghamdi</t>
  </si>
  <si>
    <t xml:space="preserve">محللة بيانات — قطاع التحول الرقمي (Data Analyst)</t>
  </si>
  <si>
    <t xml:space="preserve">Strengths: Employer / company profile 5/5, Employment after training 5/5, Specialization 4/5. Data Science &amp; AI (T5) track, cohort 2021; 3 months to outcome. Weak on: Promotion, Career transition.</t>
  </si>
  <si>
    <t xml:space="preserve">التحاقها بوزارة البلديات والإسكان «محللة بيانات — قطاع التحول الرقمي» في فبراير 2022 — بعد ثلاثة أشهر من الإتمام.</t>
  </si>
  <si>
    <t xml:space="preserve">fahad-alaskar</t>
  </si>
  <si>
    <t xml:space="preserve">فهد العسكر</t>
  </si>
  <si>
    <t xml:space="preserve">Fahad Alaskar</t>
  </si>
  <si>
    <t xml:space="preserve">SadaaCX</t>
  </si>
  <si>
    <t xml:space="preserve">محلل بيانات (Data Analyst)</t>
  </si>
  <si>
    <t xml:space="preserve">التحاقه بـSadaaCX «محلل بيانات» في سبتمبر 2024 — بعد ثلاثة أشهر من الإتمام.</t>
  </si>
  <si>
    <t xml:space="preserve">nawaf-aljalaud</t>
  </si>
  <si>
    <t xml:space="preserve">نواف الجلعود</t>
  </si>
  <si>
    <t xml:space="preserve">Nawaf Aljalaud</t>
  </si>
  <si>
    <t xml:space="preserve">هدهد (HudHud Maps)</t>
  </si>
  <si>
    <t xml:space="preserve">Strengths: Employment after training 5/5, Employer / company profile 4/5, Specialization 5/5. Data Science &amp; AI (T5) track, cohort 2024; 5 months to outcome. Weak on: Promotion, Career transition.</t>
  </si>
  <si>
    <t xml:space="preserve">التحاقه بهدهد (HudHud Maps) «مهندس ذكاء اصطناعي» في نوفمبر 2024 — بعد خمسة أشهر من الإتمام.</t>
  </si>
  <si>
    <t xml:space="preserve">mona-alkhaldi</t>
  </si>
  <si>
    <t xml:space="preserve">منى الخالدي</t>
  </si>
  <si>
    <t xml:space="preserve">Mona Alkhaldi</t>
  </si>
  <si>
    <t xml:space="preserve">رفقة (Rfqh)</t>
  </si>
  <si>
    <t xml:space="preserve">Strengths: Employment after training 5/5, Specialization 5/5, Strategic relevance 5/5. Applied AI (AAI) track, cohort 2026; 4 months to outcome. Weak on: Promotion, Career transition.</t>
  </si>
  <si>
    <t xml:space="preserve">التحاقها برفقة (Rfqh) «أخصائية ذكاء اصطناعي» في يونيو 2026 — بعد أربعة أشهر من الإتمام.</t>
  </si>
  <si>
    <t xml:space="preserve">renad-hasanain</t>
  </si>
  <si>
    <t xml:space="preserve">رناد حسنين</t>
  </si>
  <si>
    <t xml:space="preserve">Renad Hasanain</t>
  </si>
  <si>
    <t xml:space="preserve">أخصائية ذكاء أعمال (Business Intelligence Specialist)</t>
  </si>
  <si>
    <t xml:space="preserve">Strengths: Employer / company profile 5/5, Employment after training 5/5, Specialization 4/5. Data Science &amp; AI (T5) track, cohort 2024; 11 months to outcome. Weak on: Time since training, Promotion.</t>
  </si>
  <si>
    <t xml:space="preserve">التحاقها بهيئة الزكاة والضريبة والجمارك (ZATCA) «أخصائية ذكاء أعمال» في سبتمبر 2025 — بعد أحد عشر شهرًا من الإتمام.</t>
  </si>
  <si>
    <t xml:space="preserve">abdulrhman-alghamdi</t>
  </si>
  <si>
    <t xml:space="preserve">عبدالرحمن الغامدي</t>
  </si>
  <si>
    <t xml:space="preserve">Abdulrhman AlGhamdi</t>
  </si>
  <si>
    <t xml:space="preserve">أخصائي ذكاء اصطناعي (AI Specialist)</t>
  </si>
  <si>
    <t xml:space="preserve">Strengths: Employment after training 5/5, Specialization 5/5, Time since training 5/5. LLM track, cohort 2024; 2 months to outcome. Weak on: Employer / company profile, Promotion. Held: Employer undisclosed.</t>
  </si>
  <si>
    <t xml:space="preserve">التحاقه بجهة حكومية «أخصائي ذكاء اصطناعي» في نوفمبر 2024 — بعد شهرين من الإتمام.</t>
  </si>
  <si>
    <t xml:space="preserve">mohammed-aldeaiji</t>
  </si>
  <si>
    <t xml:space="preserve">محمد الدعيجي</t>
  </si>
  <si>
    <t xml:space="preserve">Mohammed Aldeaiji</t>
  </si>
  <si>
    <t xml:space="preserve">مهندس ذكاء اصطناعي (Artificial Intelligence Engineer)</t>
  </si>
  <si>
    <t xml:space="preserve">Strengths: Employment after training 5/5, Employer / company profile 4/5, Specialization 5/5. Data Science &amp; AI (T5) track, cohort 2024; 2 months to outcome. Weak on: Promotion, Career transition.</t>
  </si>
  <si>
    <t xml:space="preserve">التحاقه بهدهد (HudHud Maps) «مهندس ذكاء اصطناعي» في ديسمبر 2024 — بعد شهرين من الإتمام.</t>
  </si>
  <si>
    <t xml:space="preserve">shouq-almutairi</t>
  </si>
  <si>
    <t xml:space="preserve">شوق المطيري</t>
  </si>
  <si>
    <t xml:space="preserve">Shouq Almutairi</t>
  </si>
  <si>
    <t xml:space="preserve">مستشارة حوكمة البيانات (Data Governance Consultant)</t>
  </si>
  <si>
    <t xml:space="preserve">Strengths: Employment after training 5/5, Employer / company profile 4/5, Specialization 4/5. Data Management track, cohort 2023; 7 months to outcome. Weak on: Promotion, Career transition.</t>
  </si>
  <si>
    <t xml:space="preserve">التحاقها بـDevoteam «مستشارة حوكمة البيانات» في يونيو 2024 — بعد سبعة أشهر من الإتمام.</t>
  </si>
  <si>
    <t xml:space="preserve">fatimah-alsoger</t>
  </si>
  <si>
    <t xml:space="preserve">فاطمة الصقر</t>
  </si>
  <si>
    <t xml:space="preserve">Fatimah Alsoger</t>
  </si>
  <si>
    <t xml:space="preserve">Strengths: Employment after training 5/5, Specialization 4/5, Strategic relevance 4/5. Machine Learning track, cohort 2024; 6 months to outcome. Weak on: Promotion, Career transition.</t>
  </si>
  <si>
    <t xml:space="preserve">التحاقها بـLean Business Services «محللة بيانات» في يوليو 2024 — بعد ستة أشهر من الإتمام.</t>
  </si>
  <si>
    <t xml:space="preserve">amal-alsulami</t>
  </si>
  <si>
    <t xml:space="preserve">أمل السلمي</t>
  </si>
  <si>
    <t xml:space="preserve">Amal Alsulami</t>
  </si>
  <si>
    <t xml:space="preserve">تحكّم TAHAKOM</t>
  </si>
  <si>
    <t xml:space="preserve">مطوّرة ذكاء اصطناعي (AI Developer)</t>
  </si>
  <si>
    <t xml:space="preserve">Strengths: Employment after training 5/5, Specialization 5/5. Data Science &amp; AI (T5) track, cohort 2021; 12 months to outcome. Weak on: Time since training, Promotion.</t>
  </si>
  <si>
    <t xml:space="preserve">التحاقها بتحكّم TAHAKOM «مطوّرة ذكاء اصطناعي» في أكتوبر 2022 — بعد اثني عشر شهرًا من الإتمام.</t>
  </si>
  <si>
    <t xml:space="preserve">leen-alzeyedi</t>
  </si>
  <si>
    <t xml:space="preserve">لين الزيدي</t>
  </si>
  <si>
    <t xml:space="preserve">Leen Alzeyedi</t>
  </si>
  <si>
    <t xml:space="preserve">مشاركة عمليات منصات الحوسبة السحابية (Cloud Computing Platform Operations Associate)</t>
  </si>
  <si>
    <t xml:space="preserve">Strengths: Employment after training 4/5, Specialization 4/5, Time since training 4/5. ServiceNow track, cohort 2025; 4 months to outcome. Weak on: Promotion, Career transition.</t>
  </si>
  <si>
    <t xml:space="preserve">التحاقها بسدايا «مشاركة عمليات منصات الحوسبة السحابية» في مارس 2026 — بعد أربعة أشهر من الإتمام.</t>
  </si>
  <si>
    <t xml:space="preserve">radhyah-alzubaidi</t>
  </si>
  <si>
    <t xml:space="preserve">رضيه الزبيدي</t>
  </si>
  <si>
    <t xml:space="preserve">Radhyah Alzubaidi</t>
  </si>
  <si>
    <t xml:space="preserve">ماستر ووركس (Master Works)</t>
  </si>
  <si>
    <t xml:space="preserve">مهندسة ذكاء اصطناعي أولى (Senior AI Engineer)</t>
  </si>
  <si>
    <t xml:space="preserve">Strengths: Employment after training 5/5, Employer / company profile 4/5, Specialization 5/5. LLM track, cohort 2024; 7 months to outcome. Weak on: Career transition.</t>
  </si>
  <si>
    <t xml:space="preserve">التحاقها بماستر ووركس (Master Works) «مهندسة ذكاء اصطناعي أولى» في سبتمبر 2024 — بعد سبعة أشهر من الإتمام.</t>
  </si>
  <si>
    <t xml:space="preserve">Clear draft quote with graduate; Non-photo image (avatar/monogram)</t>
  </si>
  <si>
    <t xml:space="preserve">anas-alwohaib</t>
  </si>
  <si>
    <t xml:space="preserve">أنس الوهيب</t>
  </si>
  <si>
    <t xml:space="preserve">Anas Alwohaib</t>
  </si>
  <si>
    <t xml:space="preserve">Strengths: Employment after training 5/5, Employer / company profile 4/5, Specialization 5/5. Data Science &amp; AI (T5) track, cohort 2024; 7 months to outcome. Weak on: Promotion, Career transition.</t>
  </si>
  <si>
    <t xml:space="preserve">التحاقه بالمركز الوطني لنظم الموارد الحكومية (NCGR) «عالم بيانات» في مايو 2025 — بعد سبعة أشهر من الإتمام.</t>
  </si>
  <si>
    <t xml:space="preserve">maria-a-alghamdi</t>
  </si>
  <si>
    <t xml:space="preserve">ماريا الغامدي</t>
  </si>
  <si>
    <t xml:space="preserve">Maria A. Alghamdi</t>
  </si>
  <si>
    <t xml:space="preserve">محللة استشارات بيانات وذكاء اصطناعي (Data &amp; AI Consulting Analyst)</t>
  </si>
  <si>
    <t xml:space="preserve">Strengths: Employment after training 5/5, Employer / company profile 4/5, Specialization 5/5. Data Science &amp; AI (T5) track, cohort 2023; 5 months to outcome. Weak on: Promotion, Career transition.</t>
  </si>
  <si>
    <t xml:space="preserve">التحاقها بأكسنتشر «محللة استشارات بيانات وذكاء اصطناعي» في مايو 2024 — بعد خمسة أشهر من الإتمام.</t>
  </si>
  <si>
    <t xml:space="preserve">ruba-alhudyani</t>
  </si>
  <si>
    <t xml:space="preserve">ربى الهديان</t>
  </si>
  <si>
    <t xml:space="preserve">Ruba Alhudyani</t>
  </si>
  <si>
    <t xml:space="preserve">استخبارات الاحتيال وعلوم البيانات (Fraud Intelligence &amp; Data Science)</t>
  </si>
  <si>
    <t xml:space="preserve">Strengths: Employment after training 5/5, Employer / company profile 4/5, Specialization 5/5. LLM track, cohort 2024; 8 months to outcome. Weak on: Promotion, Career transition.</t>
  </si>
  <si>
    <t xml:space="preserve">التحاقه بالبنك العربي الوطني (ANB) «استخبارات الاحتيال وعلوم البيانات» في مايو 2025 — بعد ثمانية أشهر من الإتمام.</t>
  </si>
  <si>
    <t xml:space="preserve">wid-alzainy</t>
  </si>
  <si>
    <t xml:space="preserve">ود الزيني</t>
  </si>
  <si>
    <t xml:space="preserve">Wid Alzainy</t>
  </si>
  <si>
    <t xml:space="preserve">Strengths: Specialization 5/5, Employment after training 4/5, Story completeness 4.2/5. Data Science &amp; AI (T5) track, cohort 2023; 3 months to outcome. Weak on: Promotion, Career transition.</t>
  </si>
  <si>
    <t xml:space="preserve">التحاق بسدايا «مهندسة ذكاء اصطناعي» بدوام كامل في ديسمبر 2023 — بعد ثلاثة أشهر من إتمام المعسكر.</t>
  </si>
  <si>
    <t xml:space="preserve">osama-alsahafi</t>
  </si>
  <si>
    <t xml:space="preserve">أسامة الصحفي</t>
  </si>
  <si>
    <t xml:space="preserve">Osama Alsahafi</t>
  </si>
  <si>
    <t xml:space="preserve">Strengths: Specialization 5/5, Employment after training 4/5, Story completeness 4.2/5. Data Science &amp; AI (T5) track, cohort 2023; 5 months to outcome. Weak on: Promotion, Career transition.</t>
  </si>
  <si>
    <t xml:space="preserve">التحاق بسدايا «مهندس ذكاء اصطناعي» بدوام كامل في فبراير 2024 — بعد خمسة أشهر من إتمام المعسكر.</t>
  </si>
  <si>
    <t xml:space="preserve">abdullah-almazrua</t>
  </si>
  <si>
    <t xml:space="preserve">عبدالله المزروع</t>
  </si>
  <si>
    <t xml:space="preserve">Abdullah Almazrua</t>
  </si>
  <si>
    <t xml:space="preserve">مسؤول أول حوكمة البيانات (Senior Data Governance Officer)</t>
  </si>
  <si>
    <t xml:space="preserve">Strengths: Employer / company profile 5/5, Employment after training 5/5, Specialization 4/5. Data Science &amp; AI (T5) track, cohort 2024; 8 months to outcome. Weak on: Career transition.</t>
  </si>
  <si>
    <t xml:space="preserve">تعيينه «مسؤولًا أول لحوكمة البيانات» في مصرف الراجحي في يوليو 2025 — بعد ثمانية أشهر من إتمام معسكر T5.</t>
  </si>
  <si>
    <t xml:space="preserve">rafaa-abuazza</t>
  </si>
  <si>
    <t xml:space="preserve">رفاء أبو عزة</t>
  </si>
  <si>
    <t xml:space="preserve">Rafaa Abuazzah</t>
  </si>
  <si>
    <t xml:space="preserve">أخصائية منتجات الذكاء الاصطناعي (AI Product Specialist)</t>
  </si>
  <si>
    <t xml:space="preserve">Strengths: Employer / company profile 5/5, Employment after training 5/5, Specialization 5/5. Data Science &amp; AI (T5) track, cohort 2024; 2 months to outcome. Weak on: Promotion.</t>
  </si>
  <si>
    <t xml:space="preserve">انتقال إلى نيوم «أخصائية منتجات الذكاء الاصطناعي» بدوام كامل في أغسطس 2024 — بعد شهرين من إتمام معسكر T5.</t>
  </si>
  <si>
    <t xml:space="preserve">joud-alrumayh</t>
  </si>
  <si>
    <t xml:space="preserve">جود الرميح</t>
  </si>
  <si>
    <t xml:space="preserve">Joud Alrumayh</t>
  </si>
  <si>
    <t xml:space="preserve">مطوّرة برمجيات مساعدة (Assistant Software Developer)</t>
  </si>
  <si>
    <t xml:space="preserve">Java Developers</t>
  </si>
  <si>
    <t xml:space="preserve">Strengths: Employment after training 4/5, Time since training 4/5. Java Developers track, cohort 2024; 3 months to outcome. Weak on: Promotion, Career transition.</t>
  </si>
  <si>
    <t xml:space="preserve">التحاق بسدايا «مطوّرة برمجيات مساعدة» بدوام كامل في أكتوبر 2024 — بعد ثلاثة أشهر من إتمام معسكر المطوّرين.</t>
  </si>
  <si>
    <t xml:space="preserve">alyaa-bajaber</t>
  </si>
  <si>
    <t xml:space="preserve">علياء باجابر</t>
  </si>
  <si>
    <t xml:space="preserve">Alyaa Bajaber</t>
  </si>
  <si>
    <t xml:space="preserve">PSC</t>
  </si>
  <si>
    <t xml:space="preserve">أخصائية حوكمة البيانات (Data Governance Specialist)</t>
  </si>
  <si>
    <t xml:space="preserve">Strengths: Employment after training 5/5, Specialization 4/5. Data Management track, cohort 2024; 7 months to outcome. Weak on: Promotion, Career transition.</t>
  </si>
  <si>
    <t xml:space="preserve">التحاق بـPSC «أخصائية حوكمة بيانات» بدوام كامل في نوفمبر 2024 — بعد شهر من إتمام معسكر T5 وسبعة أشهر من معسكر إدارة البيانات.</t>
  </si>
  <si>
    <t xml:space="preserve">lama-almegbil</t>
  </si>
  <si>
    <t xml:space="preserve">لمى المقبل</t>
  </si>
  <si>
    <t xml:space="preserve">Lama Almegbil</t>
  </si>
  <si>
    <t xml:space="preserve">الشركة السعودية للصناعات العسكرية (SAMI)</t>
  </si>
  <si>
    <t xml:space="preserve">التحاق بالشركة السعودية للصناعات العسكرية «محللة بيانات» بدوام كامل في فبراير 2025 — بعد ثمانية أشهر من إتمام معسكر T5.</t>
  </si>
  <si>
    <t xml:space="preserve">Clear draft quote with graduate; Non-photo image (avatar/monogram); Add employer logo</t>
  </si>
  <si>
    <t xml:space="preserve">Summary</t>
  </si>
  <si>
    <t xml:space="preserve">All figures are formulas over the Scoring sheet.</t>
  </si>
  <si>
    <t xml:space="preserve">Publishing tier</t>
  </si>
  <si>
    <t xml:space="preserve">Stories</t>
  </si>
  <si>
    <t xml:space="preserve">Avg. score</t>
  </si>
  <si>
    <t xml:space="preserve">Avg. score — Priority Queue</t>
  </si>
  <si>
    <t xml:space="preserve">Avg. score — all stories</t>
  </si>
  <si>
    <t xml:space="preserve">Gap</t>
  </si>
  <si>
    <t xml:space="preserve">In Priority Queue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</si>
</sst>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%"/>
    <numFmt numFmtId="168" formatCode="0.00000"/>
    <numFmt numFmtId="169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475467"/>
      <name val="Arial"/>
      <family val="0"/>
      <charset val="1"/>
    </font>
    <font>
      <b val="true"/>
      <sz val="12"/>
      <color rgb="FF0F7C7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0F7C7A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9"/>
      <color rgb="FF475467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 readingOrder="2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3">
    <dxf>
      <fill>
        <patternFill>
          <bgColor rgb="FFB7E4C7"/>
        </patternFill>
      </fill>
    </dxf>
    <dxf>
      <fill>
        <patternFill>
          <bgColor rgb="FFD8F3DC"/>
        </patternFill>
      </fill>
    </dxf>
    <dxf>
      <fill>
        <patternFill>
          <bgColor rgb="FFEEF2F6"/>
        </patternFill>
      </fill>
    </dxf>
    <dxf>
      <fill>
        <patternFill>
          <bgColor rgb="FFFFFFFF"/>
        </patternFill>
      </fill>
    </dxf>
    <dxf>
      <fill>
        <patternFill>
          <bgColor rgb="FFFDE2E1"/>
        </patternFill>
      </fill>
    </dxf>
    <dxf>
      <fill>
        <patternFill>
          <bgColor rgb="FFE0EAFF"/>
        </patternFill>
      </fill>
    </dxf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DF"/>
          <bgColor rgb="FF000000"/>
        </patternFill>
      </fill>
    </dxf>
    <dxf>
      <fill>
        <patternFill patternType="solid">
          <fgColor rgb="FFE4FCEC"/>
          <bgColor rgb="FF000000"/>
        </patternFill>
      </fill>
    </dxf>
    <dxf>
      <fill>
        <patternFill patternType="solid">
          <fgColor rgb="FFFEFBF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6FEF9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DF3F2"/>
          <bgColor rgb="FF000000"/>
        </patternFill>
      </fill>
    </dxf>
    <dxf>
      <fill>
        <patternFill patternType="solid">
          <fgColor rgb="FFE0FCEA"/>
          <bgColor rgb="FF000000"/>
        </patternFill>
      </fill>
    </dxf>
    <dxf>
      <fill>
        <patternFill patternType="solid">
          <fgColor rgb="FFEDFDF3"/>
          <bgColor rgb="FF000000"/>
        </patternFill>
      </fill>
    </dxf>
    <dxf>
      <fill>
        <patternFill patternType="solid">
          <fgColor rgb="FFFAFFFC"/>
          <bgColor rgb="FF000000"/>
        </patternFill>
      </fill>
    </dxf>
    <dxf>
      <fill>
        <patternFill patternType="solid">
          <fgColor rgb="FFFEF7F6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D5FBE2"/>
          <bgColor rgb="FF000000"/>
        </patternFill>
      </fill>
    </dxf>
    <dxf>
      <fill>
        <patternFill patternType="solid">
          <fgColor rgb="FFD9FBE5"/>
          <bgColor rgb="FF000000"/>
        </patternFill>
      </fill>
    </dxf>
    <dxf>
      <fill>
        <patternFill patternType="solid">
          <fgColor rgb="FFDEFCE8"/>
          <bgColor rgb="FF000000"/>
        </patternFill>
      </fill>
    </dxf>
    <dxf>
      <fill>
        <patternFill patternType="solid">
          <fgColor rgb="FFE6FDEE"/>
          <bgColor rgb="FF000000"/>
        </patternFill>
      </fill>
    </dxf>
    <dxf>
      <fill>
        <patternFill patternType="solid">
          <fgColor rgb="FFE8FDEF"/>
          <bgColor rgb="FF000000"/>
        </patternFill>
      </fill>
    </dxf>
    <dxf>
      <fill>
        <patternFill patternType="solid">
          <fgColor rgb="FFEBFDF1"/>
          <bgColor rgb="FF000000"/>
        </patternFill>
      </fill>
    </dxf>
    <dxf>
      <fill>
        <patternFill patternType="solid">
          <fgColor rgb="FFEFFEF4"/>
          <bgColor rgb="FF000000"/>
        </patternFill>
      </fill>
    </dxf>
    <dxf>
      <fill>
        <patternFill patternType="solid">
          <fgColor rgb="FFF3FEF7"/>
          <bgColor rgb="FF000000"/>
        </patternFill>
      </fill>
    </dxf>
    <dxf>
      <fill>
        <patternFill patternType="solid">
          <fgColor rgb="FFF4FEF8"/>
          <bgColor rgb="FF000000"/>
        </patternFill>
      </fill>
    </dxf>
    <dxf>
      <fill>
        <patternFill patternType="solid">
          <fgColor rgb="FFF8FFFA"/>
          <bgColor rgb="FF000000"/>
        </patternFill>
      </fill>
    </dxf>
    <dxf>
      <fill>
        <patternFill patternType="solid">
          <fgColor rgb="FFFEF8F7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9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DBFBE6"/>
          <bgColor rgb="FF000000"/>
        </patternFill>
      </fill>
    </dxf>
    <dxf>
      <fill>
        <patternFill patternType="solid">
          <fgColor rgb="FFFDEFEE"/>
          <bgColor rgb="FF000000"/>
        </patternFill>
      </fill>
    </dxf>
    <dxf>
      <fill>
        <patternFill patternType="solid">
          <fgColor rgb="FFFDF5F4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B7E4C7"/>
          <bgColor rgb="FF000000"/>
        </patternFill>
      </fill>
    </dxf>
    <dxf>
      <fill>
        <patternFill patternType="solid">
          <fgColor rgb="FFD8F3DC"/>
          <bgColor rgb="FF000000"/>
        </patternFill>
      </fill>
    </dxf>
    <dxf>
      <fill>
        <patternFill patternType="solid">
          <fgColor rgb="FFEEF2F6"/>
          <bgColor rgb="FF000000"/>
        </patternFill>
      </fill>
    </dxf>
    <dxf>
      <fill>
        <patternFill patternType="solid">
          <fgColor rgb="FFFDE2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C7A"/>
      <rgbColor rgb="FFB7E4C7"/>
      <rgbColor rgb="FF808080"/>
      <rgbColor rgb="FF9999FF"/>
      <rgbColor rgb="FF993366"/>
      <rgbColor rgb="FFFFF9DB"/>
      <rgbColor rgb="FFE0EA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D8F3D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  <c r="B6" s="5" t="s">
        <v>4</v>
      </c>
    </row>
    <row r="7" customFormat="false" ht="15" hidden="false" customHeight="false" outlineLevel="0" collapsed="false">
      <c r="A7" s="4" t="s">
        <v>5</v>
      </c>
      <c r="B7" s="5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23.85" hidden="false" customHeight="false" outlineLevel="0" collapsed="false">
      <c r="A11" s="4" t="s">
        <v>13</v>
      </c>
      <c r="B11" s="5" t="s">
        <v>14</v>
      </c>
    </row>
    <row r="13" customFormat="false" ht="15" hidden="false" customHeight="false" outlineLevel="0" collapsed="false">
      <c r="A13" s="3" t="s">
        <v>15</v>
      </c>
    </row>
    <row r="14" customFormat="false" ht="15" hidden="false" customHeight="false" outlineLevel="0" collapsed="false">
      <c r="A14" s="6" t="s">
        <v>16</v>
      </c>
      <c r="B14" s="5" t="s">
        <v>17</v>
      </c>
    </row>
    <row r="15" customFormat="false" ht="15" hidden="false" customHeight="false" outlineLevel="0" collapsed="false">
      <c r="A15" s="4" t="s">
        <v>18</v>
      </c>
      <c r="B15" s="5" t="s">
        <v>19</v>
      </c>
    </row>
    <row r="16" customFormat="false" ht="15" hidden="false" customHeight="false" outlineLevel="0" collapsed="false">
      <c r="A16" s="7" t="s">
        <v>20</v>
      </c>
      <c r="B16" s="5" t="s">
        <v>21</v>
      </c>
    </row>
    <row r="18" customFormat="false" ht="15" hidden="false" customHeight="false" outlineLevel="0" collapsed="false">
      <c r="A18" s="3" t="s">
        <v>22</v>
      </c>
    </row>
    <row r="19" customFormat="false" ht="15" hidden="false" customHeight="false" outlineLevel="0" collapsed="false">
      <c r="A19" s="4" t="s">
        <v>23</v>
      </c>
      <c r="B19" s="5" t="s">
        <v>24</v>
      </c>
    </row>
    <row r="20" customFormat="false" ht="23.85" hidden="false" customHeight="false" outlineLevel="0" collapsed="false">
      <c r="A20" s="4" t="s">
        <v>25</v>
      </c>
      <c r="B20" s="5" t="s">
        <v>26</v>
      </c>
    </row>
    <row r="21" customFormat="false" ht="15" hidden="false" customHeight="false" outlineLevel="0" collapsed="false">
      <c r="A21" s="4" t="s">
        <v>27</v>
      </c>
      <c r="B21" s="5" t="s">
        <v>28</v>
      </c>
    </row>
    <row r="22" customFormat="false" ht="15" hidden="false" customHeight="false" outlineLevel="0" collapsed="false">
      <c r="A22" s="4" t="s">
        <v>29</v>
      </c>
      <c r="B22" s="5" t="s">
        <v>30</v>
      </c>
    </row>
    <row r="23" customFormat="false" ht="15" hidden="false" customHeight="false" outlineLevel="0" collapsed="false">
      <c r="A23" s="4" t="s">
        <v>31</v>
      </c>
      <c r="B23" s="5" t="s">
        <v>32</v>
      </c>
    </row>
    <row r="25" customFormat="false" ht="15" hidden="false" customHeight="false" outlineLevel="0" collapsed="false">
      <c r="A25" s="3" t="s">
        <v>33</v>
      </c>
    </row>
    <row r="26" customFormat="false" ht="15" hidden="false" customHeight="false" outlineLevel="0" collapsed="false">
      <c r="A26" s="4" t="s">
        <v>34</v>
      </c>
      <c r="B26" s="5" t="s">
        <v>35</v>
      </c>
    </row>
    <row r="27" customFormat="false" ht="15" hidden="false" customHeight="false" outlineLevel="0" collapsed="false">
      <c r="A27" s="4" t="s">
        <v>36</v>
      </c>
      <c r="B27" s="5" t="s">
        <v>37</v>
      </c>
    </row>
    <row r="28" customFormat="false" ht="23.85" hidden="false" customHeight="false" outlineLevel="0" collapsed="false">
      <c r="A28" s="4" t="s">
        <v>38</v>
      </c>
      <c r="B28" s="5" t="s">
        <v>39</v>
      </c>
    </row>
    <row r="29" customFormat="false" ht="23.85" hidden="false" customHeight="false" outlineLevel="0" collapsed="false">
      <c r="A29" s="4" t="s">
        <v>40</v>
      </c>
      <c r="B29" s="5" t="s">
        <v>41</v>
      </c>
    </row>
    <row r="30" customFormat="false" ht="15" hidden="false" customHeight="false" outlineLevel="0" collapsed="false">
      <c r="A30" s="4" t="s">
        <v>42</v>
      </c>
      <c r="B30" s="5" t="s">
        <v>43</v>
      </c>
    </row>
    <row r="31" customFormat="false" ht="23.85" hidden="false" customHeight="false" outlineLevel="0" collapsed="false">
      <c r="A31" s="4" t="s">
        <v>44</v>
      </c>
      <c r="B31" s="5" t="s">
        <v>45</v>
      </c>
    </row>
    <row r="32" customFormat="false" ht="15" hidden="false" customHeight="false" outlineLevel="0" collapsed="false">
      <c r="A32" s="4" t="s">
        <v>46</v>
      </c>
      <c r="B32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8"/>
    <col collapsed="false" customWidth="true" hidden="false" outlineLevel="0" max="11" min="10" style="0" width="9"/>
    <col collapsed="false" customWidth="true" hidden="false" outlineLevel="0" max="12" min="12" style="0" width="20"/>
    <col collapsed="false" customWidth="true" hidden="false" outlineLevel="0" max="13" min="13" style="0" width="60"/>
    <col collapsed="false" customWidth="true" hidden="false" outlineLevel="0" max="14" min="14" style="0" width="40"/>
    <col collapsed="false" customWidth="true" hidden="false" outlineLevel="0" max="15" min="15" style="0" width="9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A3" s="4" t="s">
        <v>50</v>
      </c>
      <c r="C3" s="4" t="n">
        <f aca="false">SUMPRODUCT(--((Scoring!$Z$5:$Z$172&lt;=Weights!$C$19)+(Scoring!$AF$5:$AF$172="Yes")&gt;0))</f>
        <v>60</v>
      </c>
    </row>
    <row r="4" customFormat="false" ht="33.75" hidden="false" customHeight="true" outlineLevel="0" collapsed="false">
      <c r="A4" s="8" t="s">
        <v>51</v>
      </c>
      <c r="B4" s="8" t="s">
        <v>52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  <c r="J4" s="8" t="s">
        <v>60</v>
      </c>
      <c r="K4" s="8" t="s">
        <v>61</v>
      </c>
      <c r="L4" s="8" t="s">
        <v>62</v>
      </c>
      <c r="M4" s="8" t="s">
        <v>42</v>
      </c>
      <c r="N4" s="8" t="s">
        <v>63</v>
      </c>
      <c r="O4" s="8" t="s">
        <v>64</v>
      </c>
    </row>
    <row r="5" customFormat="false" ht="57.75" hidden="false" customHeight="true" outlineLevel="0" collapsed="false">
      <c r="A5" s="9" t="n">
        <f aca="false">IF(1&lt;=$C$3,1,"")</f>
        <v>1</v>
      </c>
      <c r="B5" s="10" t="n">
        <f aca="false">IF($A5="","",INDEX(Scoring!$Z$5:$Z$172,MATCH(1,Scoring!$AH$5:$AH$172,0)))</f>
        <v>1</v>
      </c>
      <c r="C5" s="11" t="str">
        <f aca="false">IF($A5="","",IF(INDEX(Scoring!$AF$5:$AF$172,MATCH(1,Scoring!$AH$5:$AH$172,0))="Yes",IF(INDEX(Scoring!$Z$5:$Z$172,MATCH(1,Scoring!$AH$5:$AH$172,0))&lt;=Weights!$C$19,"Top 30 + added","Added to queue"),"Top 30 by score"))</f>
        <v>Top 30 by score</v>
      </c>
      <c r="D5" s="10" t="str">
        <f aca="false">IF($A5="","",INDEX(Scoring!$A$5:$A$172,MATCH(1,Scoring!$AH$5:$AH$172,0)))</f>
        <v>aqeelah-makki</v>
      </c>
      <c r="E5" s="12" t="str">
        <f aca="false">IF($A5="","",INDEX(Scoring!$B$5:$B$172,MATCH(1,Scoring!$AH$5:$AH$172,0)))</f>
        <v>عقيلة مكي</v>
      </c>
      <c r="F5" s="13" t="str">
        <f aca="false">IF($A5="","",INDEX(Scoring!$C$5:$C$172,MATCH(1,Scoring!$AH$5:$AH$172,0)))</f>
        <v>Aqeelah Jaffar Makki</v>
      </c>
      <c r="G5" s="13" t="str">
        <f aca="false">IF($A5="","",INDEX(Scoring!$D$5:$D$172,MATCH(1,Scoring!$AH$5:$AH$172,0)))</f>
        <v>هيوماين (HUMAIN)</v>
      </c>
      <c r="H5" s="10" t="str">
        <f aca="false">IF($A5="","",INDEX(Scoring!$F$5:$F$172,MATCH(1,Scoring!$AH$5:$AH$172,0)))</f>
        <v>GenAI / NVIDIA</v>
      </c>
      <c r="I5" s="10" t="n">
        <f aca="false">IF($A5="","",INDEX(Scoring!$G$5:$G$172,MATCH(1,Scoring!$AH$5:$AH$172,0)))</f>
        <v>2023</v>
      </c>
      <c r="J5" s="10" t="n">
        <f aca="false">IF($A5="","",INDEX(Scoring!$H$5:$H$172,MATCH(1,Scoring!$AH$5:$AH$172,0)))</f>
        <v>1</v>
      </c>
      <c r="K5" s="14" t="n">
        <f aca="false">IF($A5="","",INDEX(Scoring!$W$5:$W$172,MATCH(1,Scoring!$AH$5:$AH$172,0)))</f>
        <v>86.1</v>
      </c>
      <c r="L5" s="11" t="str">
        <f aca="false">IF($A5="","",INDEX(Scoring!$AA$5:$AA$172,MATCH(1,Scoring!$AH$5:$AH$172,0)))</f>
        <v>Tier 1 – Flagship launch</v>
      </c>
      <c r="M5" s="13" t="str">
        <f aca="false">IF($A5="","",INDEX(Scoring!$AB$5:$AB$172,MATCH(1,Scoring!$AH$5:$AH$172,0)))</f>
        <v>Strengths: Employer / company profile 5/5, Employment after training 5/5, Measurable impact 5/5. GenAI / NVIDIA track, cohort 2023; 1 month to outcome. Weak on: Promotion.</v>
      </c>
      <c r="N5" s="13" t="str">
        <f aca="false">IF($A5="","",INDEX(Scoring!$AD$5:$AD$172,MATCH(1,Scoring!$AH$5:$AH$172,0)))</f>
        <v>Clear draft quote with graduate</v>
      </c>
      <c r="O5" s="10" t="str">
        <f aca="false">IF($A5="","",INDEX(Scoring!$AE$5:$AE$172,MATCH(1,Scoring!$AH$5:$AH$172,0)))</f>
        <v>Draft</v>
      </c>
    </row>
    <row r="6" customFormat="false" ht="57.75" hidden="false" customHeight="true" outlineLevel="0" collapsed="false">
      <c r="A6" s="9" t="n">
        <f aca="false">IF(2&lt;=$C$3,2,"")</f>
        <v>2</v>
      </c>
      <c r="B6" s="10" t="n">
        <f aca="false">IF($A6="","",INDEX(Scoring!$Z$5:$Z$172,MATCH(2,Scoring!$AH$5:$AH$172,0)))</f>
        <v>2</v>
      </c>
      <c r="C6" s="11" t="str">
        <f aca="false">IF($A6="","",IF(INDEX(Scoring!$AF$5:$AF$172,MATCH(2,Scoring!$AH$5:$AH$172,0))="Yes",IF(INDEX(Scoring!$Z$5:$Z$172,MATCH(2,Scoring!$AH$5:$AH$172,0))&lt;=Weights!$C$19,"Top 30 + added","Added to queue"),"Top 30 by score"))</f>
        <v>Top 30 by score</v>
      </c>
      <c r="D6" s="10" t="str">
        <f aca="false">IF($A6="","",INDEX(Scoring!$A$5:$A$172,MATCH(2,Scoring!$AH$5:$AH$172,0)))</f>
        <v>khaled-almutairy</v>
      </c>
      <c r="E6" s="12" t="str">
        <f aca="false">IF($A6="","",INDEX(Scoring!$B$5:$B$172,MATCH(2,Scoring!$AH$5:$AH$172,0)))</f>
        <v>خالد المطيري</v>
      </c>
      <c r="F6" s="13" t="str">
        <f aca="false">IF($A6="","",INDEX(Scoring!$C$5:$C$172,MATCH(2,Scoring!$AH$5:$AH$172,0)))</f>
        <v>Khaled Almutairy</v>
      </c>
      <c r="G6" s="13" t="str">
        <f aca="false">IF($A6="","",INDEX(Scoring!$D$5:$D$172,MATCH(2,Scoring!$AH$5:$AH$172,0)))</f>
        <v>شركة علم</v>
      </c>
      <c r="H6" s="10" t="str">
        <f aca="false">IF($A6="","",INDEX(Scoring!$F$5:$F$172,MATCH(2,Scoring!$AH$5:$AH$172,0)))</f>
        <v>GenAI / NVIDIA</v>
      </c>
      <c r="I6" s="10" t="n">
        <f aca="false">IF($A6="","",INDEX(Scoring!$G$5:$G$172,MATCH(2,Scoring!$AH$5:$AH$172,0)))</f>
        <v>2025</v>
      </c>
      <c r="J6" s="10" t="n">
        <f aca="false">IF($A6="","",INDEX(Scoring!$H$5:$H$172,MATCH(2,Scoring!$AH$5:$AH$172,0)))</f>
        <v>1</v>
      </c>
      <c r="K6" s="14" t="n">
        <f aca="false">IF($A6="","",INDEX(Scoring!$W$5:$W$172,MATCH(2,Scoring!$AH$5:$AH$172,0)))</f>
        <v>78.7</v>
      </c>
      <c r="L6" s="11" t="str">
        <f aca="false">IF($A6="","",INDEX(Scoring!$AA$5:$AA$172,MATCH(2,Scoring!$AH$5:$AH$172,0)))</f>
        <v>Tier 1 – Flagship launch</v>
      </c>
      <c r="M6" s="13" t="str">
        <f aca="false">IF($A6="","",INDEX(Scoring!$AB$5:$AB$172,MATCH(2,Scoring!$AH$5:$AH$172,0)))</f>
        <v>Strengths: Employer / company profile 5/5, Employment after training 5/5, Specialization 5/5. GenAI / NVIDIA track, cohort 2025; 1 month to outcome. Weak on: Promotion.</v>
      </c>
      <c r="N6" s="13" t="str">
        <f aca="false">IF($A6="","",INDEX(Scoring!$AD$5:$AD$172,MATCH(2,Scoring!$AH$5:$AH$172,0)))</f>
        <v>Clear draft quote with graduate</v>
      </c>
      <c r="O6" s="10" t="str">
        <f aca="false">IF($A6="","",INDEX(Scoring!$AE$5:$AE$172,MATCH(2,Scoring!$AH$5:$AH$172,0)))</f>
        <v>Draft</v>
      </c>
    </row>
    <row r="7" customFormat="false" ht="57.75" hidden="false" customHeight="true" outlineLevel="0" collapsed="false">
      <c r="A7" s="9" t="n">
        <f aca="false">IF(3&lt;=$C$3,3,"")</f>
        <v>3</v>
      </c>
      <c r="B7" s="10" t="n">
        <f aca="false">IF($A7="","",INDEX(Scoring!$Z$5:$Z$172,MATCH(3,Scoring!$AH$5:$AH$172,0)))</f>
        <v>3</v>
      </c>
      <c r="C7" s="11" t="str">
        <f aca="false">IF($A7="","",IF(INDEX(Scoring!$AF$5:$AF$172,MATCH(3,Scoring!$AH$5:$AH$172,0))="Yes",IF(INDEX(Scoring!$Z$5:$Z$172,MATCH(3,Scoring!$AH$5:$AH$172,0))&lt;=Weights!$C$19,"Top 30 + added","Added to queue"),"Top 30 by score"))</f>
        <v>Top 30 by score</v>
      </c>
      <c r="D7" s="10" t="str">
        <f aca="false">IF($A7="","",INDEX(Scoring!$A$5:$A$172,MATCH(3,Scoring!$AH$5:$AH$172,0)))</f>
        <v>asma-alzubaidi</v>
      </c>
      <c r="E7" s="12" t="str">
        <f aca="false">IF($A7="","",INDEX(Scoring!$B$5:$B$172,MATCH(3,Scoring!$AH$5:$AH$172,0)))</f>
        <v>اسماء احمد الزبيدي</v>
      </c>
      <c r="F7" s="13" t="str">
        <f aca="false">IF($A7="","",INDEX(Scoring!$C$5:$C$172,MATCH(3,Scoring!$AH$5:$AH$172,0)))</f>
        <v>Asma Ahmed Alzubaidi</v>
      </c>
      <c r="G7" s="13" t="str">
        <f aca="false">IF($A7="","",INDEX(Scoring!$D$5:$D$172,MATCH(3,Scoring!$AH$5:$AH$172,0)))</f>
        <v>جامعة أم القرى</v>
      </c>
      <c r="H7" s="10" t="str">
        <f aca="false">IF($A7="","",INDEX(Scoring!$F$5:$F$172,MATCH(3,Scoring!$AH$5:$AH$172,0)))</f>
        <v>GenAI / NVIDIA</v>
      </c>
      <c r="I7" s="10" t="n">
        <f aca="false">IF($A7="","",INDEX(Scoring!$G$5:$G$172,MATCH(3,Scoring!$AH$5:$AH$172,0)))</f>
        <v>2025</v>
      </c>
      <c r="J7" s="10" t="n">
        <f aca="false">IF($A7="","",INDEX(Scoring!$H$5:$H$172,MATCH(3,Scoring!$AH$5:$AH$172,0)))</f>
        <v>11</v>
      </c>
      <c r="K7" s="14" t="n">
        <f aca="false">IF($A7="","",INDEX(Scoring!$W$5:$W$172,MATCH(3,Scoring!$AH$5:$AH$172,0)))</f>
        <v>75.7</v>
      </c>
      <c r="L7" s="11" t="str">
        <f aca="false">IF($A7="","",INDEX(Scoring!$AA$5:$AA$172,MATCH(3,Scoring!$AH$5:$AH$172,0)))</f>
        <v>Tier 1 – Flagship launch</v>
      </c>
      <c r="M7" s="13" t="str">
        <f aca="false">IF($A7="","",INDEX(Scoring!$AB$5:$AB$172,MATCH(3,Scoring!$AH$5:$AH$172,0)))</f>
        <v>Strengths: Evidence quality 4.5/5, Employment after training 5/5, Employer / company profile 4/5. GenAI / NVIDIA track, cohort 2025; 11 months to outcome. Weak on: Time since training.</v>
      </c>
      <c r="N7" s="13" t="str">
        <f aca="false">IF($A7="","",INDEX(Scoring!$AD$5:$AD$172,MATCH(3,Scoring!$AH$5:$AH$172,0)))</f>
        <v>Ready</v>
      </c>
      <c r="O7" s="10" t="str">
        <f aca="false">IF($A7="","",INDEX(Scoring!$AE$5:$AE$172,MATCH(3,Scoring!$AH$5:$AH$172,0)))</f>
        <v>Verified</v>
      </c>
    </row>
    <row r="8" customFormat="false" ht="57.75" hidden="false" customHeight="true" outlineLevel="0" collapsed="false">
      <c r="A8" s="9" t="n">
        <f aca="false">IF(4&lt;=$C$3,4,"")</f>
        <v>4</v>
      </c>
      <c r="B8" s="10" t="n">
        <f aca="false">IF($A8="","",INDEX(Scoring!$Z$5:$Z$172,MATCH(4,Scoring!$AH$5:$AH$172,0)))</f>
        <v>4</v>
      </c>
      <c r="C8" s="11" t="str">
        <f aca="false">IF($A8="","",IF(INDEX(Scoring!$AF$5:$AF$172,MATCH(4,Scoring!$AH$5:$AH$172,0))="Yes",IF(INDEX(Scoring!$Z$5:$Z$172,MATCH(4,Scoring!$AH$5:$AH$172,0))&lt;=Weights!$C$19,"Top 30 + added","Added to queue"),"Top 30 by score"))</f>
        <v>Top 30 by score</v>
      </c>
      <c r="D8" s="10" t="str">
        <f aca="false">IF($A8="","",INDEX(Scoring!$A$5:$A$172,MATCH(4,Scoring!$AH$5:$AH$172,0)))</f>
        <v>farah-alsuwayeh</v>
      </c>
      <c r="E8" s="12" t="str">
        <f aca="false">IF($A8="","",INDEX(Scoring!$B$5:$B$172,MATCH(4,Scoring!$AH$5:$AH$172,0)))</f>
        <v>فرح السويح</v>
      </c>
      <c r="F8" s="13" t="str">
        <f aca="false">IF($A8="","",INDEX(Scoring!$C$5:$C$172,MATCH(4,Scoring!$AH$5:$AH$172,0)))</f>
        <v>Farah Alsuwayeh</v>
      </c>
      <c r="G8" s="13" t="str">
        <f aca="false">IF($A8="","",INDEX(Scoring!$D$5:$D$172,MATCH(4,Scoring!$AH$5:$AH$172,0)))</f>
        <v>السعودية للطاقة</v>
      </c>
      <c r="H8" s="10" t="str">
        <f aca="false">IF($A8="","",INDEX(Scoring!$F$5:$F$172,MATCH(4,Scoring!$AH$5:$AH$172,0)))</f>
        <v>LLM</v>
      </c>
      <c r="I8" s="10" t="n">
        <f aca="false">IF($A8="","",INDEX(Scoring!$G$5:$G$172,MATCH(4,Scoring!$AH$5:$AH$172,0)))</f>
        <v>2023</v>
      </c>
      <c r="J8" s="10" t="n">
        <f aca="false">IF($A8="","",INDEX(Scoring!$H$5:$H$172,MATCH(4,Scoring!$AH$5:$AH$172,0)))</f>
        <v>1</v>
      </c>
      <c r="K8" s="14" t="n">
        <f aca="false">IF($A8="","",INDEX(Scoring!$W$5:$W$172,MATCH(4,Scoring!$AH$5:$AH$172,0)))</f>
        <v>75.3</v>
      </c>
      <c r="L8" s="11" t="str">
        <f aca="false">IF($A8="","",INDEX(Scoring!$AA$5:$AA$172,MATCH(4,Scoring!$AH$5:$AH$172,0)))</f>
        <v>Tier 1 – Flagship launch</v>
      </c>
      <c r="M8" s="13" t="str">
        <f aca="false">IF($A8="","",INDEX(Scoring!$AB$5:$AB$172,MATCH(4,Scoring!$AH$5:$AH$172,0)))</f>
        <v>Strengths: Employer / company profile 5/5, Employment after training 5/5, Specialization 5/5. LLM track, cohort 2023; 1 month to outcome. Weak on: Promotion.</v>
      </c>
      <c r="N8" s="13" t="str">
        <f aca="false">IF($A8="","",INDEX(Scoring!$AD$5:$AD$172,MATCH(4,Scoring!$AH$5:$AH$172,0)))</f>
        <v>Clear draft quote with graduate</v>
      </c>
      <c r="O8" s="10" t="str">
        <f aca="false">IF($A8="","",INDEX(Scoring!$AE$5:$AE$172,MATCH(4,Scoring!$AH$5:$AH$172,0)))</f>
        <v>Draft</v>
      </c>
    </row>
    <row r="9" customFormat="false" ht="57.75" hidden="false" customHeight="true" outlineLevel="0" collapsed="false">
      <c r="A9" s="9" t="n">
        <f aca="false">IF(5&lt;=$C$3,5,"")</f>
        <v>5</v>
      </c>
      <c r="B9" s="10" t="n">
        <f aca="false">IF($A9="","",INDEX(Scoring!$Z$5:$Z$172,MATCH(5,Scoring!$AH$5:$AH$172,0)))</f>
        <v>5</v>
      </c>
      <c r="C9" s="11" t="str">
        <f aca="false">IF($A9="","",IF(INDEX(Scoring!$AF$5:$AF$172,MATCH(5,Scoring!$AH$5:$AH$172,0))="Yes",IF(INDEX(Scoring!$Z$5:$Z$172,MATCH(5,Scoring!$AH$5:$AH$172,0))&lt;=Weights!$C$19,"Top 30 + added","Added to queue"),"Top 30 by score"))</f>
        <v>Top 30 by score</v>
      </c>
      <c r="D9" s="10" t="str">
        <f aca="false">IF($A9="","",INDEX(Scoring!$A$5:$A$172,MATCH(5,Scoring!$AH$5:$AH$172,0)))</f>
        <v>hoor-alshihi</v>
      </c>
      <c r="E9" s="12" t="str">
        <f aca="false">IF($A9="","",INDEX(Scoring!$B$5:$B$172,MATCH(5,Scoring!$AH$5:$AH$172,0)))</f>
        <v>حور الشيحي</v>
      </c>
      <c r="F9" s="13" t="str">
        <f aca="false">IF($A9="","",INDEX(Scoring!$C$5:$C$172,MATCH(5,Scoring!$AH$5:$AH$172,0)))</f>
        <v>Hoor Al-Shihi</v>
      </c>
      <c r="G9" s="13" t="str">
        <f aca="false">IF($A9="","",INDEX(Scoring!$D$5:$D$172,MATCH(5,Scoring!$AH$5:$AH$172,0)))</f>
        <v>SITE سايت</v>
      </c>
      <c r="H9" s="10" t="str">
        <f aca="false">IF($A9="","",INDEX(Scoring!$F$5:$F$172,MATCH(5,Scoring!$AH$5:$AH$172,0)))</f>
        <v>Machine Learning</v>
      </c>
      <c r="I9" s="10" t="n">
        <f aca="false">IF($A9="","",INDEX(Scoring!$G$5:$G$172,MATCH(5,Scoring!$AH$5:$AH$172,0)))</f>
        <v>2023</v>
      </c>
      <c r="J9" s="10" t="str">
        <f aca="false">IF($A9="","",INDEX(Scoring!$H$5:$H$172,MATCH(5,Scoring!$AH$5:$AH$172,0)))</f>
        <v>n/a</v>
      </c>
      <c r="K9" s="14" t="n">
        <f aca="false">IF($A9="","",INDEX(Scoring!$W$5:$W$172,MATCH(5,Scoring!$AH$5:$AH$172,0)))</f>
        <v>75</v>
      </c>
      <c r="L9" s="11" t="str">
        <f aca="false">IF($A9="","",INDEX(Scoring!$AA$5:$AA$172,MATCH(5,Scoring!$AH$5:$AH$172,0)))</f>
        <v>Tier 1 – Flagship launch</v>
      </c>
      <c r="M9" s="13" t="str">
        <f aca="false">IF($A9="","",INDEX(Scoring!$AB$5:$AB$172,MATCH(5,Scoring!$AH$5:$AH$172,0)))</f>
        <v>Strengths: Employment after training 5/5, Measurable impact 5/5, Employer / company profile 4/5. Machine Learning track, cohort 2023; timing dated by year only. Weak on: Career transition.</v>
      </c>
      <c r="N9" s="13" t="str">
        <f aca="false">IF($A9="","",INDEX(Scoring!$AD$5:$AD$172,MATCH(5,Scoring!$AH$5:$AH$172,0)))</f>
        <v>Clear draft quote with graduate</v>
      </c>
      <c r="O9" s="10" t="str">
        <f aca="false">IF($A9="","",INDEX(Scoring!$AE$5:$AE$172,MATCH(5,Scoring!$AH$5:$AH$172,0)))</f>
        <v>Draft</v>
      </c>
    </row>
    <row r="10" customFormat="false" ht="57.75" hidden="false" customHeight="true" outlineLevel="0" collapsed="false">
      <c r="A10" s="9" t="n">
        <f aca="false">IF(6&lt;=$C$3,6,"")</f>
        <v>6</v>
      </c>
      <c r="B10" s="10" t="n">
        <f aca="false">IF($A10="","",INDEX(Scoring!$Z$5:$Z$172,MATCH(6,Scoring!$AH$5:$AH$172,0)))</f>
        <v>6</v>
      </c>
      <c r="C10" s="11" t="str">
        <f aca="false">IF($A10="","",IF(INDEX(Scoring!$AF$5:$AF$172,MATCH(6,Scoring!$AH$5:$AH$172,0))="Yes",IF(INDEX(Scoring!$Z$5:$Z$172,MATCH(6,Scoring!$AH$5:$AH$172,0))&lt;=Weights!$C$19,"Top 30 + added","Added to queue"),"Top 30 by score"))</f>
        <v>Top 30 + added</v>
      </c>
      <c r="D10" s="10" t="str">
        <f aca="false">IF($A10="","",INDEX(Scoring!$A$5:$A$172,MATCH(6,Scoring!$AH$5:$AH$172,0)))</f>
        <v>abdulrahman-alqannas</v>
      </c>
      <c r="E10" s="12" t="str">
        <f aca="false">IF($A10="","",INDEX(Scoring!$B$5:$B$172,MATCH(6,Scoring!$AH$5:$AH$172,0)))</f>
        <v>عبدالرحمن القناص</v>
      </c>
      <c r="F10" s="13" t="str">
        <f aca="false">IF($A10="","",INDEX(Scoring!$C$5:$C$172,MATCH(6,Scoring!$AH$5:$AH$172,0)))</f>
        <v>Abdulrahman Alqannas</v>
      </c>
      <c r="G10" s="13" t="str">
        <f aca="false">IF($A10="","",INDEX(Scoring!$D$5:$D$172,MATCH(6,Scoring!$AH$5:$AH$172,0)))</f>
        <v>شركة علم</v>
      </c>
      <c r="H10" s="10" t="str">
        <f aca="false">IF($A10="","",INDEX(Scoring!$F$5:$F$172,MATCH(6,Scoring!$AH$5:$AH$172,0)))</f>
        <v>LLM</v>
      </c>
      <c r="I10" s="10" t="n">
        <f aca="false">IF($A10="","",INDEX(Scoring!$G$5:$G$172,MATCH(6,Scoring!$AH$5:$AH$172,0)))</f>
        <v>2023</v>
      </c>
      <c r="J10" s="10" t="n">
        <f aca="false">IF($A10="","",INDEX(Scoring!$H$5:$H$172,MATCH(6,Scoring!$AH$5:$AH$172,0)))</f>
        <v>11</v>
      </c>
      <c r="K10" s="14" t="n">
        <f aca="false">IF($A10="","",INDEX(Scoring!$W$5:$W$172,MATCH(6,Scoring!$AH$5:$AH$172,0)))</f>
        <v>74</v>
      </c>
      <c r="L10" s="11" t="str">
        <f aca="false">IF($A10="","",INDEX(Scoring!$AA$5:$AA$172,MATCH(6,Scoring!$AH$5:$AH$172,0)))</f>
        <v>Tier 1 – Flagship launch</v>
      </c>
      <c r="M10" s="13" t="str">
        <f aca="false">IF($A10="","",INDEX(Scoring!$AB$5:$AB$172,MATCH(6,Scoring!$AH$5:$AH$172,0)))</f>
        <v>Strengths: Evidence quality 4.2/5, Employer / company profile 5/5, Employment after training 5/5. LLM track, cohort 2023; 11 months to outcome. Weak on: Time since training, Career transition.</v>
      </c>
      <c r="N10" s="13" t="str">
        <f aca="false">IF($A10="","",INDEX(Scoring!$AD$5:$AD$172,MATCH(6,Scoring!$AH$5:$AH$172,0)))</f>
        <v>Ready</v>
      </c>
      <c r="O10" s="10" t="str">
        <f aca="false">IF($A10="","",INDEX(Scoring!$AE$5:$AE$172,MATCH(6,Scoring!$AH$5:$AH$172,0)))</f>
        <v>Verified</v>
      </c>
    </row>
    <row r="11" customFormat="false" ht="57.75" hidden="false" customHeight="true" outlineLevel="0" collapsed="false">
      <c r="A11" s="9" t="n">
        <f aca="false">IF(7&lt;=$C$3,7,"")</f>
        <v>7</v>
      </c>
      <c r="B11" s="10" t="n">
        <f aca="false">IF($A11="","",INDEX(Scoring!$Z$5:$Z$172,MATCH(7,Scoring!$AH$5:$AH$172,0)))</f>
        <v>7</v>
      </c>
      <c r="C11" s="11" t="str">
        <f aca="false">IF($A11="","",IF(INDEX(Scoring!$AF$5:$AF$172,MATCH(7,Scoring!$AH$5:$AH$172,0))="Yes",IF(INDEX(Scoring!$Z$5:$Z$172,MATCH(7,Scoring!$AH$5:$AH$172,0))&lt;=Weights!$C$19,"Top 30 + added","Added to queue"),"Top 30 by score"))</f>
        <v>Top 30 by score</v>
      </c>
      <c r="D11" s="10" t="str">
        <f aca="false">IF($A11="","",INDEX(Scoring!$A$5:$A$172,MATCH(7,Scoring!$AH$5:$AH$172,0)))</f>
        <v>raghad-alqobali</v>
      </c>
      <c r="E11" s="12" t="str">
        <f aca="false">IF($A11="","",INDEX(Scoring!$B$5:$B$172,MATCH(7,Scoring!$AH$5:$AH$172,0)))</f>
        <v>رغد القبالي</v>
      </c>
      <c r="F11" s="13" t="str">
        <f aca="false">IF($A11="","",INDEX(Scoring!$C$5:$C$172,MATCH(7,Scoring!$AH$5:$AH$172,0)))</f>
        <v>Raghad Alqobali</v>
      </c>
      <c r="G11" s="13" t="str">
        <f aca="false">IF($A11="","",INDEX(Scoring!$D$5:$D$172,MATCH(7,Scoring!$AH$5:$AH$172,0)))</f>
        <v>سدايا</v>
      </c>
      <c r="H11" s="10" t="str">
        <f aca="false">IF($A11="","",INDEX(Scoring!$F$5:$F$172,MATCH(7,Scoring!$AH$5:$AH$172,0)))</f>
        <v>LLM</v>
      </c>
      <c r="I11" s="10" t="n">
        <f aca="false">IF($A11="","",INDEX(Scoring!$G$5:$G$172,MATCH(7,Scoring!$AH$5:$AH$172,0)))</f>
        <v>2023</v>
      </c>
      <c r="J11" s="10" t="str">
        <f aca="false">IF($A11="","",INDEX(Scoring!$H$5:$H$172,MATCH(7,Scoring!$AH$5:$AH$172,0)))</f>
        <v>n/a</v>
      </c>
      <c r="K11" s="14" t="n">
        <f aca="false">IF($A11="","",INDEX(Scoring!$W$5:$W$172,MATCH(7,Scoring!$AH$5:$AH$172,0)))</f>
        <v>73.2</v>
      </c>
      <c r="L11" s="11" t="str">
        <f aca="false">IF($A11="","",INDEX(Scoring!$AA$5:$AA$172,MATCH(7,Scoring!$AH$5:$AH$172,0)))</f>
        <v>Tier 1 – Flagship launch</v>
      </c>
      <c r="M11" s="13" t="str">
        <f aca="false">IF($A11="","",INDEX(Scoring!$AB$5:$AB$172,MATCH(7,Scoring!$AH$5:$AH$172,0)))</f>
        <v>Strengths: Evidence quality 4.8/5, Measurable impact 5/5, Specialization 5/5. LLM track, cohort 2023; timing dated by year only. Weak on: Promotion, Career transition.</v>
      </c>
      <c r="N11" s="13" t="str">
        <f aca="false">IF($A11="","",INDEX(Scoring!$AD$5:$AD$172,MATCH(7,Scoring!$AH$5:$AH$172,0)))</f>
        <v>Clear draft quote with graduate; Replace GitHub avatar with real photo; Confirm month-level date</v>
      </c>
      <c r="O11" s="10" t="str">
        <f aca="false">IF($A11="","",INDEX(Scoring!$AE$5:$AE$172,MATCH(7,Scoring!$AH$5:$AH$172,0)))</f>
        <v>Draft</v>
      </c>
    </row>
    <row r="12" customFormat="false" ht="57.75" hidden="false" customHeight="true" outlineLevel="0" collapsed="false">
      <c r="A12" s="9" t="n">
        <f aca="false">IF(8&lt;=$C$3,8,"")</f>
        <v>8</v>
      </c>
      <c r="B12" s="10" t="n">
        <f aca="false">IF($A12="","",INDEX(Scoring!$Z$5:$Z$172,MATCH(8,Scoring!$AH$5:$AH$172,0)))</f>
        <v>8</v>
      </c>
      <c r="C12" s="11" t="str">
        <f aca="false">IF($A12="","",IF(INDEX(Scoring!$AF$5:$AF$172,MATCH(8,Scoring!$AH$5:$AH$172,0))="Yes",IF(INDEX(Scoring!$Z$5:$Z$172,MATCH(8,Scoring!$AH$5:$AH$172,0))&lt;=Weights!$C$19,"Top 30 + added","Added to queue"),"Top 30 by score"))</f>
        <v>Top 30 + added</v>
      </c>
      <c r="D12" s="10" t="str">
        <f aca="false">IF($A12="","",INDEX(Scoring!$A$5:$A$172,MATCH(8,Scoring!$AH$5:$AH$172,0)))</f>
        <v>badr-alshamrani</v>
      </c>
      <c r="E12" s="12" t="str">
        <f aca="false">IF($A12="","",INDEX(Scoring!$B$5:$B$172,MATCH(8,Scoring!$AH$5:$AH$172,0)))</f>
        <v>بدر علي الشمراني</v>
      </c>
      <c r="F12" s="13" t="str">
        <f aca="false">IF($A12="","",INDEX(Scoring!$C$5:$C$172,MATCH(8,Scoring!$AH$5:$AH$172,0)))</f>
        <v>Badr Ali Alshamrani</v>
      </c>
      <c r="G12" s="13" t="str">
        <f aca="false">IF($A12="","",INDEX(Scoring!$D$5:$D$172,MATCH(8,Scoring!$AH$5:$AH$172,0)))</f>
        <v>مستشفى الملك فيصل التخصصي ومركز الأبحاث</v>
      </c>
      <c r="H12" s="10" t="str">
        <f aca="false">IF($A12="","",INDEX(Scoring!$F$5:$F$172,MATCH(8,Scoring!$AH$5:$AH$172,0)))</f>
        <v>AI Agents</v>
      </c>
      <c r="I12" s="10" t="n">
        <f aca="false">IF($A12="","",INDEX(Scoring!$G$5:$G$172,MATCH(8,Scoring!$AH$5:$AH$172,0)))</f>
        <v>2025</v>
      </c>
      <c r="J12" s="10" t="n">
        <f aca="false">IF($A12="","",INDEX(Scoring!$H$5:$H$172,MATCH(8,Scoring!$AH$5:$AH$172,0)))</f>
        <v>3</v>
      </c>
      <c r="K12" s="14" t="n">
        <f aca="false">IF($A12="","",INDEX(Scoring!$W$5:$W$172,MATCH(8,Scoring!$AH$5:$AH$172,0)))</f>
        <v>73.2</v>
      </c>
      <c r="L12" s="11" t="str">
        <f aca="false">IF($A12="","",INDEX(Scoring!$AA$5:$AA$172,MATCH(8,Scoring!$AH$5:$AH$172,0)))</f>
        <v>Tier 1 – Flagship launch</v>
      </c>
      <c r="M12" s="13" t="str">
        <f aca="false">IF($A12="","",INDEX(Scoring!$AB$5:$AB$172,MATCH(8,Scoring!$AH$5:$AH$172,0)))</f>
        <v>Strengths: Employer / company profile 5/5, Evidence quality 4/5, Employment after training 5/5. AI Agents track, cohort 2025; 3 months to outcome. Weak on: Promotion, Career transition.</v>
      </c>
      <c r="N12" s="13" t="str">
        <f aca="false">IF($A12="","",INDEX(Scoring!$AD$5:$AD$172,MATCH(8,Scoring!$AH$5:$AH$172,0)))</f>
        <v>Ready</v>
      </c>
      <c r="O12" s="10" t="str">
        <f aca="false">IF($A12="","",INDEX(Scoring!$AE$5:$AE$172,MATCH(8,Scoring!$AH$5:$AH$172,0)))</f>
        <v>Verified</v>
      </c>
    </row>
    <row r="13" customFormat="false" ht="57.75" hidden="false" customHeight="true" outlineLevel="0" collapsed="false">
      <c r="A13" s="9" t="n">
        <f aca="false">IF(9&lt;=$C$3,9,"")</f>
        <v>9</v>
      </c>
      <c r="B13" s="10" t="n">
        <f aca="false">IF($A13="","",INDEX(Scoring!$Z$5:$Z$172,MATCH(9,Scoring!$AH$5:$AH$172,0)))</f>
        <v>9</v>
      </c>
      <c r="C13" s="11" t="str">
        <f aca="false">IF($A13="","",IF(INDEX(Scoring!$AF$5:$AF$172,MATCH(9,Scoring!$AH$5:$AH$172,0))="Yes",IF(INDEX(Scoring!$Z$5:$Z$172,MATCH(9,Scoring!$AH$5:$AH$172,0))&lt;=Weights!$C$19,"Top 30 + added","Added to queue"),"Top 30 by score"))</f>
        <v>Top 30 + added</v>
      </c>
      <c r="D13" s="10" t="str">
        <f aca="false">IF($A13="","",INDEX(Scoring!$A$5:$A$172,MATCH(9,Scoring!$AH$5:$AH$172,0)))</f>
        <v>anas-almana</v>
      </c>
      <c r="E13" s="12" t="str">
        <f aca="false">IF($A13="","",INDEX(Scoring!$B$5:$B$172,MATCH(9,Scoring!$AH$5:$AH$172,0)))</f>
        <v>أنس المانع</v>
      </c>
      <c r="F13" s="13" t="str">
        <f aca="false">IF($A13="","",INDEX(Scoring!$C$5:$C$172,MATCH(9,Scoring!$AH$5:$AH$172,0)))</f>
        <v>Anas Almana</v>
      </c>
      <c r="G13" s="13" t="str">
        <f aca="false">IF($A13="","",INDEX(Scoring!$D$5:$D$172,MATCH(9,Scoring!$AH$5:$AH$172,0)))</f>
        <v>Quality Support Solutions</v>
      </c>
      <c r="H13" s="10" t="str">
        <f aca="false">IF($A13="","",INDEX(Scoring!$F$5:$F$172,MATCH(9,Scoring!$AH$5:$AH$172,0)))</f>
        <v>Data Science &amp; AI (T5)</v>
      </c>
      <c r="I13" s="10" t="n">
        <f aca="false">IF($A13="","",INDEX(Scoring!$G$5:$G$172,MATCH(9,Scoring!$AH$5:$AH$172,0)))</f>
        <v>2023</v>
      </c>
      <c r="J13" s="10" t="n">
        <f aca="false">IF($A13="","",INDEX(Scoring!$H$5:$H$172,MATCH(9,Scoring!$AH$5:$AH$172,0)))</f>
        <v>1</v>
      </c>
      <c r="K13" s="14" t="n">
        <f aca="false">IF($A13="","",INDEX(Scoring!$W$5:$W$172,MATCH(9,Scoring!$AH$5:$AH$172,0)))</f>
        <v>73.1</v>
      </c>
      <c r="L13" s="11" t="str">
        <f aca="false">IF($A13="","",INDEX(Scoring!$AA$5:$AA$172,MATCH(9,Scoring!$AH$5:$AH$172,0)))</f>
        <v>Tier 1 – Flagship launch</v>
      </c>
      <c r="M13" s="13" t="str">
        <f aca="false">IF($A13="","",INDEX(Scoring!$AB$5:$AB$172,MATCH(9,Scoring!$AH$5:$AH$172,0)))</f>
        <v>Strengths: Employment after training 5/5, Specialization 5/5, Time since training 5/5. Data Science &amp; AI (T5) track, cohort 2023; 1 month to outcome.</v>
      </c>
      <c r="N13" s="13" t="str">
        <f aca="false">IF($A13="","",INDEX(Scoring!$AD$5:$AD$172,MATCH(9,Scoring!$AH$5:$AH$172,0)))</f>
        <v>Ready</v>
      </c>
      <c r="O13" s="10" t="str">
        <f aca="false">IF($A13="","",INDEX(Scoring!$AE$5:$AE$172,MATCH(9,Scoring!$AH$5:$AH$172,0)))</f>
        <v>Verified</v>
      </c>
    </row>
    <row r="14" customFormat="false" ht="57.75" hidden="false" customHeight="true" outlineLevel="0" collapsed="false">
      <c r="A14" s="9" t="n">
        <f aca="false">IF(10&lt;=$C$3,10,"")</f>
        <v>10</v>
      </c>
      <c r="B14" s="10" t="n">
        <f aca="false">IF($A14="","",INDEX(Scoring!$Z$5:$Z$172,MATCH(10,Scoring!$AH$5:$AH$172,0)))</f>
        <v>10</v>
      </c>
      <c r="C14" s="11" t="str">
        <f aca="false">IF($A14="","",IF(INDEX(Scoring!$AF$5:$AF$172,MATCH(10,Scoring!$AH$5:$AH$172,0))="Yes",IF(INDEX(Scoring!$Z$5:$Z$172,MATCH(10,Scoring!$AH$5:$AH$172,0))&lt;=Weights!$C$19,"Top 30 + added","Added to queue"),"Top 30 by score"))</f>
        <v>Top 30 by score</v>
      </c>
      <c r="D14" s="10" t="str">
        <f aca="false">IF($A14="","",INDEX(Scoring!$A$5:$A$172,MATCH(10,Scoring!$AH$5:$AH$172,0)))</f>
        <v>shahad-altamimi</v>
      </c>
      <c r="E14" s="12" t="str">
        <f aca="false">IF($A14="","",INDEX(Scoring!$B$5:$B$172,MATCH(10,Scoring!$AH$5:$AH$172,0)))</f>
        <v>شهد التميمي</v>
      </c>
      <c r="F14" s="13" t="str">
        <f aca="false">IF($A14="","",INDEX(Scoring!$C$5:$C$172,MATCH(10,Scoring!$AH$5:$AH$172,0)))</f>
        <v>Shahad Altamimi</v>
      </c>
      <c r="G14" s="13" t="str">
        <f aca="false">IF($A14="","",INDEX(Scoring!$D$5:$D$172,MATCH(10,Scoring!$AH$5:$AH$172,0)))</f>
        <v>أكاديمية الملك سلمان العالمية للغة العربية</v>
      </c>
      <c r="H14" s="10" t="str">
        <f aca="false">IF($A14="","",INDEX(Scoring!$F$5:$F$172,MATCH(10,Scoring!$AH$5:$AH$172,0)))</f>
        <v>Applied AI (AAI)</v>
      </c>
      <c r="I14" s="10" t="n">
        <f aca="false">IF($A14="","",INDEX(Scoring!$G$5:$G$172,MATCH(10,Scoring!$AH$5:$AH$172,0)))</f>
        <v>2026</v>
      </c>
      <c r="J14" s="10" t="n">
        <f aca="false">IF($A14="","",INDEX(Scoring!$H$5:$H$172,MATCH(10,Scoring!$AH$5:$AH$172,0)))</f>
        <v>2</v>
      </c>
      <c r="K14" s="14" t="n">
        <f aca="false">IF($A14="","",INDEX(Scoring!$W$5:$W$172,MATCH(10,Scoring!$AH$5:$AH$172,0)))</f>
        <v>73.1</v>
      </c>
      <c r="L14" s="11" t="str">
        <f aca="false">IF($A14="","",INDEX(Scoring!$AA$5:$AA$172,MATCH(10,Scoring!$AH$5:$AH$172,0)))</f>
        <v>Tier 1 – Flagship launch</v>
      </c>
      <c r="M14" s="13" t="str">
        <f aca="false">IF($A14="","",INDEX(Scoring!$AB$5:$AB$172,MATCH(10,Scoring!$AH$5:$AH$172,0)))</f>
        <v>Strengths: Evidence quality 4.5/5, Measurable impact 5/5, Employer / company profile 4/5. Applied AI (AAI) track, cohort 2026; 2 months to outcome. Weak on: Employment after training, Promotion.</v>
      </c>
      <c r="N14" s="13" t="str">
        <f aca="false">IF($A14="","",INDEX(Scoring!$AD$5:$AD$172,MATCH(10,Scoring!$AH$5:$AH$172,0)))</f>
        <v>Clear draft quote with graduate</v>
      </c>
      <c r="O14" s="10" t="str">
        <f aca="false">IF($A14="","",INDEX(Scoring!$AE$5:$AE$172,MATCH(10,Scoring!$AH$5:$AH$172,0)))</f>
        <v>Draft</v>
      </c>
    </row>
    <row r="15" customFormat="false" ht="57.75" hidden="false" customHeight="true" outlineLevel="0" collapsed="false">
      <c r="A15" s="9" t="n">
        <f aca="false">IF(11&lt;=$C$3,11,"")</f>
        <v>11</v>
      </c>
      <c r="B15" s="10" t="n">
        <f aca="false">IF($A15="","",INDEX(Scoring!$Z$5:$Z$172,MATCH(11,Scoring!$AH$5:$AH$172,0)))</f>
        <v>11</v>
      </c>
      <c r="C15" s="11" t="str">
        <f aca="false">IF($A15="","",IF(INDEX(Scoring!$AF$5:$AF$172,MATCH(11,Scoring!$AH$5:$AH$172,0))="Yes",IF(INDEX(Scoring!$Z$5:$Z$172,MATCH(11,Scoring!$AH$5:$AH$172,0))&lt;=Weights!$C$19,"Top 30 + added","Added to queue"),"Top 30 by score"))</f>
        <v>Top 30 + added</v>
      </c>
      <c r="D15" s="10" t="str">
        <f aca="false">IF($A15="","",INDEX(Scoring!$A$5:$A$172,MATCH(11,Scoring!$AH$5:$AH$172,0)))</f>
        <v>rayan-dahlawi</v>
      </c>
      <c r="E15" s="12" t="str">
        <f aca="false">IF($A15="","",INDEX(Scoring!$B$5:$B$172,MATCH(11,Scoring!$AH$5:$AH$172,0)))</f>
        <v>ريان دحلوي</v>
      </c>
      <c r="F15" s="13" t="str">
        <f aca="false">IF($A15="","",INDEX(Scoring!$C$5:$C$172,MATCH(11,Scoring!$AH$5:$AH$172,0)))</f>
        <v>Rayan Dahlawi</v>
      </c>
      <c r="G15" s="13" t="str">
        <f aca="false">IF($A15="","",INDEX(Scoring!$D$5:$D$172,MATCH(11,Scoring!$AH$5:$AH$172,0)))</f>
        <v>عبداللطيف جميل المتحدة للتمويل</v>
      </c>
      <c r="H15" s="10" t="str">
        <f aca="false">IF($A15="","",INDEX(Scoring!$F$5:$F$172,MATCH(11,Scoring!$AH$5:$AH$172,0)))</f>
        <v>LLM</v>
      </c>
      <c r="I15" s="10" t="n">
        <f aca="false">IF($A15="","",INDEX(Scoring!$G$5:$G$172,MATCH(11,Scoring!$AH$5:$AH$172,0)))</f>
        <v>2024</v>
      </c>
      <c r="J15" s="10" t="n">
        <f aca="false">IF($A15="","",INDEX(Scoring!$H$5:$H$172,MATCH(11,Scoring!$AH$5:$AH$172,0)))</f>
        <v>5</v>
      </c>
      <c r="K15" s="14" t="n">
        <f aca="false">IF($A15="","",INDEX(Scoring!$W$5:$W$172,MATCH(11,Scoring!$AH$5:$AH$172,0)))</f>
        <v>73.1</v>
      </c>
      <c r="L15" s="11" t="str">
        <f aca="false">IF($A15="","",INDEX(Scoring!$AA$5:$AA$172,MATCH(11,Scoring!$AH$5:$AH$172,0)))</f>
        <v>Tier 2 – Priority</v>
      </c>
      <c r="M15" s="13" t="str">
        <f aca="false">IF($A15="","",INDEX(Scoring!$AB$5:$AB$172,MATCH(11,Scoring!$AH$5:$AH$172,0)))</f>
        <v>Strengths: Employment after training 5/5, Employer / company profile 4/5, Specialization 5/5. LLM track, cohort 2024; 5 months to outcome. Weak on: Promotion.</v>
      </c>
      <c r="N15" s="13" t="str">
        <f aca="false">IF($A15="","",INDEX(Scoring!$AD$5:$AD$172,MATCH(11,Scoring!$AH$5:$AH$172,0)))</f>
        <v>Clear draft quote with graduate</v>
      </c>
      <c r="O15" s="10" t="str">
        <f aca="false">IF($A15="","",INDEX(Scoring!$AE$5:$AE$172,MATCH(11,Scoring!$AH$5:$AH$172,0)))</f>
        <v>Draft</v>
      </c>
    </row>
    <row r="16" customFormat="false" ht="57.75" hidden="false" customHeight="true" outlineLevel="0" collapsed="false">
      <c r="A16" s="9" t="n">
        <f aca="false">IF(12&lt;=$C$3,12,"")</f>
        <v>12</v>
      </c>
      <c r="B16" s="10" t="n">
        <f aca="false">IF($A16="","",INDEX(Scoring!$Z$5:$Z$172,MATCH(12,Scoring!$AH$5:$AH$172,0)))</f>
        <v>12</v>
      </c>
      <c r="C16" s="11" t="str">
        <f aca="false">IF($A16="","",IF(INDEX(Scoring!$AF$5:$AF$172,MATCH(12,Scoring!$AH$5:$AH$172,0))="Yes",IF(INDEX(Scoring!$Z$5:$Z$172,MATCH(12,Scoring!$AH$5:$AH$172,0))&lt;=Weights!$C$19,"Top 30 + added","Added to queue"),"Top 30 by score"))</f>
        <v>Top 30 + added</v>
      </c>
      <c r="D16" s="10" t="str">
        <f aca="false">IF($A16="","",INDEX(Scoring!$A$5:$A$172,MATCH(12,Scoring!$AH$5:$AH$172,0)))</f>
        <v>abdulaziz-althumairy</v>
      </c>
      <c r="E16" s="12" t="str">
        <f aca="false">IF($A16="","",INDEX(Scoring!$B$5:$B$172,MATCH(12,Scoring!$AH$5:$AH$172,0)))</f>
        <v>عبدالعزيز الثميري</v>
      </c>
      <c r="F16" s="13" t="str">
        <f aca="false">IF($A16="","",INDEX(Scoring!$C$5:$C$172,MATCH(12,Scoring!$AH$5:$AH$172,0)))</f>
        <v>Abdulaziz Al-Thumairy</v>
      </c>
      <c r="G16" s="13" t="str">
        <f aca="false">IF($A16="","",INDEX(Scoring!$D$5:$D$172,MATCH(12,Scoring!$AH$5:$AH$172,0)))</f>
        <v>صندوق الاستثمارات العامة (PIF)</v>
      </c>
      <c r="H16" s="10" t="str">
        <f aca="false">IF($A16="","",INDEX(Scoring!$F$5:$F$172,MATCH(12,Scoring!$AH$5:$AH$172,0)))</f>
        <v>GenAI / NVIDIA</v>
      </c>
      <c r="I16" s="10" t="n">
        <f aca="false">IF($A16="","",INDEX(Scoring!$G$5:$G$172,MATCH(12,Scoring!$AH$5:$AH$172,0)))</f>
        <v>2024</v>
      </c>
      <c r="J16" s="10" t="n">
        <f aca="false">IF($A16="","",INDEX(Scoring!$H$5:$H$172,MATCH(12,Scoring!$AH$5:$AH$172,0)))</f>
        <v>2</v>
      </c>
      <c r="K16" s="14" t="n">
        <f aca="false">IF($A16="","",INDEX(Scoring!$W$5:$W$172,MATCH(12,Scoring!$AH$5:$AH$172,0)))</f>
        <v>72.9</v>
      </c>
      <c r="L16" s="11" t="str">
        <f aca="false">IF($A16="","",INDEX(Scoring!$AA$5:$AA$172,MATCH(12,Scoring!$AH$5:$AH$172,0)))</f>
        <v>Tier 2 – Priority</v>
      </c>
      <c r="M16" s="13" t="str">
        <f aca="false">IF($A16="","",INDEX(Scoring!$AB$5:$AB$172,MATCH(12,Scoring!$AH$5:$AH$172,0)))</f>
        <v>Strengths: Employer / company profile 5/5, Employment after training 5/5, Time since training 5/5. GenAI / NVIDIA track, cohort 2024; 2 months to outcome. Weak on: Promotion.</v>
      </c>
      <c r="N16" s="13" t="str">
        <f aca="false">IF($A16="","",INDEX(Scoring!$AD$5:$AD$172,MATCH(12,Scoring!$AH$5:$AH$172,0)))</f>
        <v>Clear draft quote with graduate</v>
      </c>
      <c r="O16" s="10" t="str">
        <f aca="false">IF($A16="","",INDEX(Scoring!$AE$5:$AE$172,MATCH(12,Scoring!$AH$5:$AH$172,0)))</f>
        <v>Draft</v>
      </c>
    </row>
    <row r="17" customFormat="false" ht="57.75" hidden="false" customHeight="true" outlineLevel="0" collapsed="false">
      <c r="A17" s="9" t="n">
        <f aca="false">IF(13&lt;=$C$3,13,"")</f>
        <v>13</v>
      </c>
      <c r="B17" s="10" t="n">
        <f aca="false">IF($A17="","",INDEX(Scoring!$Z$5:$Z$172,MATCH(13,Scoring!$AH$5:$AH$172,0)))</f>
        <v>13</v>
      </c>
      <c r="C17" s="11" t="str">
        <f aca="false">IF($A17="","",IF(INDEX(Scoring!$AF$5:$AF$172,MATCH(13,Scoring!$AH$5:$AH$172,0))="Yes",IF(INDEX(Scoring!$Z$5:$Z$172,MATCH(13,Scoring!$AH$5:$AH$172,0))&lt;=Weights!$C$19,"Top 30 + added","Added to queue"),"Top 30 by score"))</f>
        <v>Top 30 by score</v>
      </c>
      <c r="D17" s="10" t="str">
        <f aca="false">IF($A17="","",INDEX(Scoring!$A$5:$A$172,MATCH(13,Scoring!$AH$5:$AH$172,0)))</f>
        <v>noura-alfouzan</v>
      </c>
      <c r="E17" s="12" t="str">
        <f aca="false">IF($A17="","",INDEX(Scoring!$B$5:$B$172,MATCH(13,Scoring!$AH$5:$AH$172,0)))</f>
        <v>نورة الفوزان</v>
      </c>
      <c r="F17" s="13" t="str">
        <f aca="false">IF($A17="","",INDEX(Scoring!$C$5:$C$172,MATCH(13,Scoring!$AH$5:$AH$172,0)))</f>
        <v>Noura Alfouzan</v>
      </c>
      <c r="G17" s="13" t="str">
        <f aca="false">IF($A17="","",INDEX(Scoring!$D$5:$D$172,MATCH(13,Scoring!$AH$5:$AH$172,0)))</f>
        <v>المؤسسة العامة للمياه (Saudi Water Authority)</v>
      </c>
      <c r="H17" s="10" t="str">
        <f aca="false">IF($A17="","",INDEX(Scoring!$F$5:$F$172,MATCH(13,Scoring!$AH$5:$AH$172,0)))</f>
        <v>Advanced AI Pathways</v>
      </c>
      <c r="I17" s="10" t="n">
        <f aca="false">IF($A17="","",INDEX(Scoring!$G$5:$G$172,MATCH(13,Scoring!$AH$5:$AH$172,0)))</f>
        <v>2024</v>
      </c>
      <c r="J17" s="10" t="str">
        <f aca="false">IF($A17="","",INDEX(Scoring!$H$5:$H$172,MATCH(13,Scoring!$AH$5:$AH$172,0)))</f>
        <v>n/a</v>
      </c>
      <c r="K17" s="14" t="n">
        <f aca="false">IF($A17="","",INDEX(Scoring!$W$5:$W$172,MATCH(13,Scoring!$AH$5:$AH$172,0)))</f>
        <v>72.3</v>
      </c>
      <c r="L17" s="11" t="str">
        <f aca="false">IF($A17="","",INDEX(Scoring!$AA$5:$AA$172,MATCH(13,Scoring!$AH$5:$AH$172,0)))</f>
        <v>Tier 2 – Priority</v>
      </c>
      <c r="M17" s="13" t="str">
        <f aca="false">IF($A17="","",INDEX(Scoring!$AB$5:$AB$172,MATCH(13,Scoring!$AH$5:$AH$172,0)))</f>
        <v>Strengths: Employment after training 5/5, Measurable impact 4/5, Strategic relevance 5/5. Advanced AI Pathways track, cohort 2024; timing dated by year only.</v>
      </c>
      <c r="N17" s="13" t="str">
        <f aca="false">IF($A17="","",INDEX(Scoring!$AD$5:$AD$172,MATCH(13,Scoring!$AH$5:$AH$172,0)))</f>
        <v>Clear draft quote with graduate</v>
      </c>
      <c r="O17" s="10" t="str">
        <f aca="false">IF($A17="","",INDEX(Scoring!$AE$5:$AE$172,MATCH(13,Scoring!$AH$5:$AH$172,0)))</f>
        <v>Draft</v>
      </c>
    </row>
    <row r="18" customFormat="false" ht="57.75" hidden="false" customHeight="true" outlineLevel="0" collapsed="false">
      <c r="A18" s="9" t="n">
        <f aca="false">IF(14&lt;=$C$3,14,"")</f>
        <v>14</v>
      </c>
      <c r="B18" s="10" t="n">
        <f aca="false">IF($A18="","",INDEX(Scoring!$Z$5:$Z$172,MATCH(14,Scoring!$AH$5:$AH$172,0)))</f>
        <v>14</v>
      </c>
      <c r="C18" s="11" t="str">
        <f aca="false">IF($A18="","",IF(INDEX(Scoring!$AF$5:$AF$172,MATCH(14,Scoring!$AH$5:$AH$172,0))="Yes",IF(INDEX(Scoring!$Z$5:$Z$172,MATCH(14,Scoring!$AH$5:$AH$172,0))&lt;=Weights!$C$19,"Top 30 + added","Added to queue"),"Top 30 by score"))</f>
        <v>Top 30 + added</v>
      </c>
      <c r="D18" s="10" t="str">
        <f aca="false">IF($A18="","",INDEX(Scoring!$A$5:$A$172,MATCH(14,Scoring!$AH$5:$AH$172,0)))</f>
        <v>ahmed-almuaybid</v>
      </c>
      <c r="E18" s="12" t="str">
        <f aca="false">IF($A18="","",INDEX(Scoring!$B$5:$B$172,MATCH(14,Scoring!$AH$5:$AH$172,0)))</f>
        <v>أحمد المعيبد</v>
      </c>
      <c r="F18" s="13" t="str">
        <f aca="false">IF($A18="","",INDEX(Scoring!$C$5:$C$172,MATCH(14,Scoring!$AH$5:$AH$172,0)))</f>
        <v>Ahmed Almuaybid</v>
      </c>
      <c r="G18" s="13" t="str">
        <f aca="false">IF($A18="","",INDEX(Scoring!$D$5:$D$172,MATCH(14,Scoring!$AH$5:$AH$172,0)))</f>
        <v>سابك</v>
      </c>
      <c r="H18" s="10" t="str">
        <f aca="false">IF($A18="","",INDEX(Scoring!$F$5:$F$172,MATCH(14,Scoring!$AH$5:$AH$172,0)))</f>
        <v>Data Science &amp; AI (T5)</v>
      </c>
      <c r="I18" s="10" t="n">
        <f aca="false">IF($A18="","",INDEX(Scoring!$G$5:$G$172,MATCH(14,Scoring!$AH$5:$AH$172,0)))</f>
        <v>2021</v>
      </c>
      <c r="J18" s="10" t="n">
        <f aca="false">IF($A18="","",INDEX(Scoring!$H$5:$H$172,MATCH(14,Scoring!$AH$5:$AH$172,0)))</f>
        <v>4</v>
      </c>
      <c r="K18" s="14" t="n">
        <f aca="false">IF($A18="","",INDEX(Scoring!$W$5:$W$172,MATCH(14,Scoring!$AH$5:$AH$172,0)))</f>
        <v>72</v>
      </c>
      <c r="L18" s="11" t="str">
        <f aca="false">IF($A18="","",INDEX(Scoring!$AA$5:$AA$172,MATCH(14,Scoring!$AH$5:$AH$172,0)))</f>
        <v>Tier 2 – Priority</v>
      </c>
      <c r="M18" s="13" t="str">
        <f aca="false">IF($A18="","",INDEX(Scoring!$AB$5:$AB$172,MATCH(14,Scoring!$AH$5:$AH$172,0)))</f>
        <v>Strengths: Employer / company profile 5/5, Employment after training 5/5, Promotion 5/5. Data Science &amp; AI (T5) track, cohort 2021; 4 months to outcome. Weak on: Career transition.</v>
      </c>
      <c r="N18" s="13" t="str">
        <f aca="false">IF($A18="","",INDEX(Scoring!$AD$5:$AD$172,MATCH(14,Scoring!$AH$5:$AH$172,0)))</f>
        <v>Clear draft quote with graduate</v>
      </c>
      <c r="O18" s="10" t="str">
        <f aca="false">IF($A18="","",INDEX(Scoring!$AE$5:$AE$172,MATCH(14,Scoring!$AH$5:$AH$172,0)))</f>
        <v>Draft</v>
      </c>
    </row>
    <row r="19" customFormat="false" ht="57.75" hidden="false" customHeight="true" outlineLevel="0" collapsed="false">
      <c r="A19" s="9" t="n">
        <f aca="false">IF(15&lt;=$C$3,15,"")</f>
        <v>15</v>
      </c>
      <c r="B19" s="10" t="n">
        <f aca="false">IF($A19="","",INDEX(Scoring!$Z$5:$Z$172,MATCH(15,Scoring!$AH$5:$AH$172,0)))</f>
        <v>15</v>
      </c>
      <c r="C19" s="11" t="str">
        <f aca="false">IF($A19="","",IF(INDEX(Scoring!$AF$5:$AF$172,MATCH(15,Scoring!$AH$5:$AH$172,0))="Yes",IF(INDEX(Scoring!$Z$5:$Z$172,MATCH(15,Scoring!$AH$5:$AH$172,0))&lt;=Weights!$C$19,"Top 30 + added","Added to queue"),"Top 30 by score"))</f>
        <v>Top 30 by score</v>
      </c>
      <c r="D19" s="10" t="str">
        <f aca="false">IF($A19="","",INDEX(Scoring!$A$5:$A$172,MATCH(15,Scoring!$AH$5:$AH$172,0)))</f>
        <v>hassn-alqaeri</v>
      </c>
      <c r="E19" s="12" t="str">
        <f aca="false">IF($A19="","",INDEX(Scoring!$B$5:$B$172,MATCH(15,Scoring!$AH$5:$AH$172,0)))</f>
        <v>حسن القاعري</v>
      </c>
      <c r="F19" s="13" t="str">
        <f aca="false">IF($A19="","",INDEX(Scoring!$C$5:$C$172,MATCH(15,Scoring!$AH$5:$AH$172,0)))</f>
        <v>Hassn Alqaeri</v>
      </c>
      <c r="G19" s="13" t="str">
        <f aca="false">IF($A19="","",INDEX(Scoring!$D$5:$D$172,MATCH(15,Scoring!$AH$5:$AH$172,0)))</f>
        <v>مهمة OSACT7 المشتركة — LREC 2026</v>
      </c>
      <c r="H19" s="10" t="str">
        <f aca="false">IF($A19="","",INDEX(Scoring!$F$5:$F$172,MATCH(15,Scoring!$AH$5:$AH$172,0)))</f>
        <v>LLM</v>
      </c>
      <c r="I19" s="10" t="n">
        <f aca="false">IF($A19="","",INDEX(Scoring!$G$5:$G$172,MATCH(15,Scoring!$AH$5:$AH$172,0)))</f>
        <v>2026</v>
      </c>
      <c r="J19" s="10" t="str">
        <f aca="false">IF($A19="","",INDEX(Scoring!$H$5:$H$172,MATCH(15,Scoring!$AH$5:$AH$172,0)))</f>
        <v>n/a</v>
      </c>
      <c r="K19" s="14" t="n">
        <f aca="false">IF($A19="","",INDEX(Scoring!$W$5:$W$172,MATCH(15,Scoring!$AH$5:$AH$172,0)))</f>
        <v>71.1</v>
      </c>
      <c r="L19" s="11" t="str">
        <f aca="false">IF($A19="","",INDEX(Scoring!$AA$5:$AA$172,MATCH(15,Scoring!$AH$5:$AH$172,0)))</f>
        <v>Tier 2 – Priority</v>
      </c>
      <c r="M19" s="13" t="str">
        <f aca="false">IF($A19="","",INDEX(Scoring!$AB$5:$AB$172,MATCH(15,Scoring!$AH$5:$AH$172,0)))</f>
        <v>Strengths: Evidence quality 4.2/5, Employer / company profile 5/5, Measurable impact 5/5. LLM track, cohort 2026; timing dated by year only. Weak on: Employment after training, Career transition.</v>
      </c>
      <c r="N19" s="13" t="str">
        <f aca="false">IF($A19="","",INDEX(Scoring!$AD$5:$AD$172,MATCH(15,Scoring!$AH$5:$AH$172,0)))</f>
        <v>Clear draft quote with graduate; Replace GitHub avatar with real photo; Add employer logo; Confirm month-level date</v>
      </c>
      <c r="O19" s="10" t="str">
        <f aca="false">IF($A19="","",INDEX(Scoring!$AE$5:$AE$172,MATCH(15,Scoring!$AH$5:$AH$172,0)))</f>
        <v>Draft</v>
      </c>
    </row>
    <row r="20" customFormat="false" ht="57.75" hidden="false" customHeight="true" outlineLevel="0" collapsed="false">
      <c r="A20" s="9" t="n">
        <f aca="false">IF(16&lt;=$C$3,16,"")</f>
        <v>16</v>
      </c>
      <c r="B20" s="10" t="n">
        <f aca="false">IF($A20="","",INDEX(Scoring!$Z$5:$Z$172,MATCH(16,Scoring!$AH$5:$AH$172,0)))</f>
        <v>16</v>
      </c>
      <c r="C20" s="11" t="str">
        <f aca="false">IF($A20="","",IF(INDEX(Scoring!$AF$5:$AF$172,MATCH(16,Scoring!$AH$5:$AH$172,0))="Yes",IF(INDEX(Scoring!$Z$5:$Z$172,MATCH(16,Scoring!$AH$5:$AH$172,0))&lt;=Weights!$C$19,"Top 30 + added","Added to queue"),"Top 30 by score"))</f>
        <v>Top 30 by score</v>
      </c>
      <c r="D20" s="10" t="str">
        <f aca="false">IF($A20="","",INDEX(Scoring!$A$5:$A$172,MATCH(16,Scoring!$AH$5:$AH$172,0)))</f>
        <v>nujud-senan</v>
      </c>
      <c r="E20" s="12" t="str">
        <f aca="false">IF($A20="","",INDEX(Scoring!$B$5:$B$172,MATCH(16,Scoring!$AH$5:$AH$172,0)))</f>
        <v>نجود سنان</v>
      </c>
      <c r="F20" s="13" t="str">
        <f aca="false">IF($A20="","",INDEX(Scoring!$C$5:$C$172,MATCH(16,Scoring!$AH$5:$AH$172,0)))</f>
        <v>Nujud Senan</v>
      </c>
      <c r="G20" s="13" t="str">
        <f aca="false">IF($A20="","",INDEX(Scoring!$D$5:$D$172,MATCH(16,Scoring!$AH$5:$AH$172,0)))</f>
        <v>قمة الابتكار الكمّي — دبي (Quantum Innovation Summit)</v>
      </c>
      <c r="H20" s="10" t="str">
        <f aca="false">IF($A20="","",INDEX(Scoring!$F$5:$F$172,MATCH(16,Scoring!$AH$5:$AH$172,0)))</f>
        <v>Data Science &amp; AI (T5)</v>
      </c>
      <c r="I20" s="10" t="n">
        <f aca="false">IF($A20="","",INDEX(Scoring!$G$5:$G$172,MATCH(16,Scoring!$AH$5:$AH$172,0)))</f>
        <v>2024</v>
      </c>
      <c r="J20" s="10" t="n">
        <f aca="false">IF($A20="","",INDEX(Scoring!$H$5:$H$172,MATCH(16,Scoring!$AH$5:$AH$172,0)))</f>
        <v>5</v>
      </c>
      <c r="K20" s="14" t="n">
        <f aca="false">IF($A20="","",INDEX(Scoring!$W$5:$W$172,MATCH(16,Scoring!$AH$5:$AH$172,0)))</f>
        <v>71</v>
      </c>
      <c r="L20" s="11" t="str">
        <f aca="false">IF($A20="","",INDEX(Scoring!$AA$5:$AA$172,MATCH(16,Scoring!$AH$5:$AH$172,0)))</f>
        <v>Tier 2 – Priority</v>
      </c>
      <c r="M20" s="13" t="str">
        <f aca="false">IF($A20="","",INDEX(Scoring!$AB$5:$AB$172,MATCH(16,Scoring!$AH$5:$AH$172,0)))</f>
        <v>Strengths: Employer / company profile 5/5, Specialization 5/5, Measurable impact 4/5. Data Science &amp; AI (T5) track, cohort 2024; 5 months to outcome. Weak on: Career transition.</v>
      </c>
      <c r="N20" s="13" t="str">
        <f aca="false">IF($A20="","",INDEX(Scoring!$AD$5:$AD$172,MATCH(16,Scoring!$AH$5:$AH$172,0)))</f>
        <v>Clear draft quote with graduate; Add employer logo</v>
      </c>
      <c r="O20" s="10" t="str">
        <f aca="false">IF($A20="","",INDEX(Scoring!$AE$5:$AE$172,MATCH(16,Scoring!$AH$5:$AH$172,0)))</f>
        <v>Draft</v>
      </c>
    </row>
    <row r="21" customFormat="false" ht="57.75" hidden="false" customHeight="true" outlineLevel="0" collapsed="false">
      <c r="A21" s="9" t="n">
        <f aca="false">IF(17&lt;=$C$3,17,"")</f>
        <v>17</v>
      </c>
      <c r="B21" s="10" t="n">
        <f aca="false">IF($A21="","",INDEX(Scoring!$Z$5:$Z$172,MATCH(17,Scoring!$AH$5:$AH$172,0)))</f>
        <v>17</v>
      </c>
      <c r="C21" s="11" t="str">
        <f aca="false">IF($A21="","",IF(INDEX(Scoring!$AF$5:$AF$172,MATCH(17,Scoring!$AH$5:$AH$172,0))="Yes",IF(INDEX(Scoring!$Z$5:$Z$172,MATCH(17,Scoring!$AH$5:$AH$172,0))&lt;=Weights!$C$19,"Top 30 + added","Added to queue"),"Top 30 by score"))</f>
        <v>Top 30 by score</v>
      </c>
      <c r="D21" s="10" t="str">
        <f aca="false">IF($A21="","",INDEX(Scoring!$A$5:$A$172,MATCH(17,Scoring!$AH$5:$AH$172,0)))</f>
        <v>dhiyaa-alsalem</v>
      </c>
      <c r="E21" s="12" t="str">
        <f aca="false">IF($A21="","",INDEX(Scoring!$B$5:$B$172,MATCH(17,Scoring!$AH$5:$AH$172,0)))</f>
        <v>Dhiyaa Alsalem</v>
      </c>
      <c r="F21" s="13" t="str">
        <f aca="false">IF($A21="","",INDEX(Scoring!$C$5:$C$172,MATCH(17,Scoring!$AH$5:$AH$172,0)))</f>
        <v>Dhiyaa Alsalem</v>
      </c>
      <c r="G21" s="13" t="str">
        <f aca="false">IF($A21="","",INDEX(Scoring!$D$5:$D$172,MATCH(17,Scoring!$AH$5:$AH$172,0)))</f>
        <v>واكب للبيانات (Wakeb Data)</v>
      </c>
      <c r="H21" s="10" t="str">
        <f aca="false">IF($A21="","",INDEX(Scoring!$F$5:$F$172,MATCH(17,Scoring!$AH$5:$AH$172,0)))</f>
        <v>Data Science &amp; AI (T5)</v>
      </c>
      <c r="I21" s="10" t="n">
        <f aca="false">IF($A21="","",INDEX(Scoring!$G$5:$G$172,MATCH(17,Scoring!$AH$5:$AH$172,0)))</f>
        <v>2024</v>
      </c>
      <c r="J21" s="10" t="n">
        <f aca="false">IF($A21="","",INDEX(Scoring!$H$5:$H$172,MATCH(17,Scoring!$AH$5:$AH$172,0)))</f>
        <v>7</v>
      </c>
      <c r="K21" s="14" t="n">
        <f aca="false">IF($A21="","",INDEX(Scoring!$W$5:$W$172,MATCH(17,Scoring!$AH$5:$AH$172,0)))</f>
        <v>70.7</v>
      </c>
      <c r="L21" s="11" t="str">
        <f aca="false">IF($A21="","",INDEX(Scoring!$AA$5:$AA$172,MATCH(17,Scoring!$AH$5:$AH$172,0)))</f>
        <v>Tier 2 – Priority</v>
      </c>
      <c r="M21" s="13" t="str">
        <f aca="false">IF($A21="","",INDEX(Scoring!$AB$5:$AB$172,MATCH(17,Scoring!$AH$5:$AH$172,0)))</f>
        <v>Strengths: Employment after training 5/5, Employer / company profile 4/5, Specialization 5/5. Data Science &amp; AI (T5) track, cohort 2024; 7 months to outcome. Weak on: Promotion.</v>
      </c>
      <c r="N21" s="13" t="str">
        <f aca="false">IF($A21="","",INDEX(Scoring!$AD$5:$AD$172,MATCH(17,Scoring!$AH$5:$AH$172,0)))</f>
        <v>Clear draft quote with graduate</v>
      </c>
      <c r="O21" s="10" t="str">
        <f aca="false">IF($A21="","",INDEX(Scoring!$AE$5:$AE$172,MATCH(17,Scoring!$AH$5:$AH$172,0)))</f>
        <v>Draft</v>
      </c>
    </row>
    <row r="22" customFormat="false" ht="57.75" hidden="false" customHeight="true" outlineLevel="0" collapsed="false">
      <c r="A22" s="9" t="n">
        <f aca="false">IF(18&lt;=$C$3,18,"")</f>
        <v>18</v>
      </c>
      <c r="B22" s="10" t="n">
        <f aca="false">IF($A22="","",INDEX(Scoring!$Z$5:$Z$172,MATCH(18,Scoring!$AH$5:$AH$172,0)))</f>
        <v>18</v>
      </c>
      <c r="C22" s="11" t="str">
        <f aca="false">IF($A22="","",IF(INDEX(Scoring!$AF$5:$AF$172,MATCH(18,Scoring!$AH$5:$AH$172,0))="Yes",IF(INDEX(Scoring!$Z$5:$Z$172,MATCH(18,Scoring!$AH$5:$AH$172,0))&lt;=Weights!$C$19,"Top 30 + added","Added to queue"),"Top 30 by score"))</f>
        <v>Top 30 + added</v>
      </c>
      <c r="D22" s="10" t="str">
        <f aca="false">IF($A22="","",INDEX(Scoring!$A$5:$A$172,MATCH(18,Scoring!$AH$5:$AH$172,0)))</f>
        <v>rafaa-abuazza</v>
      </c>
      <c r="E22" s="12" t="str">
        <f aca="false">IF($A22="","",INDEX(Scoring!$B$5:$B$172,MATCH(18,Scoring!$AH$5:$AH$172,0)))</f>
        <v>رفاء أبو عزة</v>
      </c>
      <c r="F22" s="13" t="str">
        <f aca="false">IF($A22="","",INDEX(Scoring!$C$5:$C$172,MATCH(18,Scoring!$AH$5:$AH$172,0)))</f>
        <v>Rafaa Abuazzah</v>
      </c>
      <c r="G22" s="13" t="str">
        <f aca="false">IF($A22="","",INDEX(Scoring!$D$5:$D$172,MATCH(18,Scoring!$AH$5:$AH$172,0)))</f>
        <v>نيوم</v>
      </c>
      <c r="H22" s="10" t="str">
        <f aca="false">IF($A22="","",INDEX(Scoring!$F$5:$F$172,MATCH(18,Scoring!$AH$5:$AH$172,0)))</f>
        <v>Data Science &amp; AI (T5)</v>
      </c>
      <c r="I22" s="10" t="n">
        <f aca="false">IF($A22="","",INDEX(Scoring!$G$5:$G$172,MATCH(18,Scoring!$AH$5:$AH$172,0)))</f>
        <v>2024</v>
      </c>
      <c r="J22" s="10" t="n">
        <f aca="false">IF($A22="","",INDEX(Scoring!$H$5:$H$172,MATCH(18,Scoring!$AH$5:$AH$172,0)))</f>
        <v>2</v>
      </c>
      <c r="K22" s="14" t="n">
        <f aca="false">IF($A22="","",INDEX(Scoring!$W$5:$W$172,MATCH(18,Scoring!$AH$5:$AH$172,0)))</f>
        <v>70.3</v>
      </c>
      <c r="L22" s="11" t="str">
        <f aca="false">IF($A22="","",INDEX(Scoring!$AA$5:$AA$172,MATCH(18,Scoring!$AH$5:$AH$172,0)))</f>
        <v>Tier 2 – Priority</v>
      </c>
      <c r="M22" s="13" t="str">
        <f aca="false">IF($A22="","",INDEX(Scoring!$AB$5:$AB$172,MATCH(18,Scoring!$AH$5:$AH$172,0)))</f>
        <v>Strengths: Employer / company profile 5/5, Employment after training 5/5, Specialization 5/5. Data Science &amp; AI (T5) track, cohort 2024; 2 months to outcome. Weak on: Promotion.</v>
      </c>
      <c r="N22" s="13" t="str">
        <f aca="false">IF($A22="","",INDEX(Scoring!$AD$5:$AD$172,MATCH(18,Scoring!$AH$5:$AH$172,0)))</f>
        <v>Clear draft quote with graduate</v>
      </c>
      <c r="O22" s="10" t="str">
        <f aca="false">IF($A22="","",INDEX(Scoring!$AE$5:$AE$172,MATCH(18,Scoring!$AH$5:$AH$172,0)))</f>
        <v>Draft</v>
      </c>
    </row>
    <row r="23" customFormat="false" ht="57.75" hidden="false" customHeight="true" outlineLevel="0" collapsed="false">
      <c r="A23" s="9" t="n">
        <f aca="false">IF(19&lt;=$C$3,19,"")</f>
        <v>19</v>
      </c>
      <c r="B23" s="10" t="n">
        <f aca="false">IF($A23="","",INDEX(Scoring!$Z$5:$Z$172,MATCH(19,Scoring!$AH$5:$AH$172,0)))</f>
        <v>19</v>
      </c>
      <c r="C23" s="11" t="str">
        <f aca="false">IF($A23="","",IF(INDEX(Scoring!$AF$5:$AF$172,MATCH(19,Scoring!$AH$5:$AH$172,0))="Yes",IF(INDEX(Scoring!$Z$5:$Z$172,MATCH(19,Scoring!$AH$5:$AH$172,0))&lt;=Weights!$C$19,"Top 30 + added","Added to queue"),"Top 30 by score"))</f>
        <v>Top 30 by score</v>
      </c>
      <c r="D23" s="10" t="str">
        <f aca="false">IF($A23="","",INDEX(Scoring!$A$5:$A$172,MATCH(19,Scoring!$AH$5:$AH$172,0)))</f>
        <v>yasmin-alsuliman</v>
      </c>
      <c r="E23" s="12" t="str">
        <f aca="false">IF($A23="","",INDEX(Scoring!$B$5:$B$172,MATCH(19,Scoring!$AH$5:$AH$172,0)))</f>
        <v>ياسمين آل سليمان</v>
      </c>
      <c r="F23" s="13" t="str">
        <f aca="false">IF($A23="","",INDEX(Scoring!$C$5:$C$172,MATCH(19,Scoring!$AH$5:$AH$172,0)))</f>
        <v>Yasmin Al Suliman</v>
      </c>
      <c r="G23" s="13" t="str">
        <f aca="false">IF($A23="","",INDEX(Scoring!$D$5:$D$172,MATCH(19,Scoring!$AH$5:$AH$172,0)))</f>
        <v>شركة المياه الوطنية (NWC)</v>
      </c>
      <c r="H23" s="10" t="str">
        <f aca="false">IF($A23="","",INDEX(Scoring!$F$5:$F$172,MATCH(19,Scoring!$AH$5:$AH$172,0)))</f>
        <v>Data Science &amp; AI (T5)</v>
      </c>
      <c r="I23" s="10" t="n">
        <f aca="false">IF($A23="","",INDEX(Scoring!$G$5:$G$172,MATCH(19,Scoring!$AH$5:$AH$172,0)))</f>
        <v>2024</v>
      </c>
      <c r="J23" s="10" t="n">
        <f aca="false">IF($A23="","",INDEX(Scoring!$H$5:$H$172,MATCH(19,Scoring!$AH$5:$AH$172,0)))</f>
        <v>5</v>
      </c>
      <c r="K23" s="14" t="n">
        <f aca="false">IF($A23="","",INDEX(Scoring!$W$5:$W$172,MATCH(19,Scoring!$AH$5:$AH$172,0)))</f>
        <v>69.6</v>
      </c>
      <c r="L23" s="11" t="str">
        <f aca="false">IF($A23="","",INDEX(Scoring!$AA$5:$AA$172,MATCH(19,Scoring!$AH$5:$AH$172,0)))</f>
        <v>Tier 2 – Priority</v>
      </c>
      <c r="M23" s="13" t="str">
        <f aca="false">IF($A23="","",INDEX(Scoring!$AB$5:$AB$172,MATCH(19,Scoring!$AH$5:$AH$172,0)))</f>
        <v>Strengths: Employment after training 5/5, Employer / company profile 4/5, Story completeness 5/5. Data Science &amp; AI (T5) track, cohort 2024; 5 months to outcome. Weak on: Career transition.</v>
      </c>
      <c r="N23" s="13" t="str">
        <f aca="false">IF($A23="","",INDEX(Scoring!$AD$5:$AD$172,MATCH(19,Scoring!$AH$5:$AH$172,0)))</f>
        <v>Clear draft quote with graduate</v>
      </c>
      <c r="O23" s="10" t="str">
        <f aca="false">IF($A23="","",INDEX(Scoring!$AE$5:$AE$172,MATCH(19,Scoring!$AH$5:$AH$172,0)))</f>
        <v>Draft</v>
      </c>
    </row>
    <row r="24" customFormat="false" ht="57.75" hidden="false" customHeight="true" outlineLevel="0" collapsed="false">
      <c r="A24" s="9" t="n">
        <f aca="false">IF(20&lt;=$C$3,20,"")</f>
        <v>20</v>
      </c>
      <c r="B24" s="10" t="n">
        <f aca="false">IF($A24="","",INDEX(Scoring!$Z$5:$Z$172,MATCH(20,Scoring!$AH$5:$AH$172,0)))</f>
        <v>20</v>
      </c>
      <c r="C24" s="11" t="str">
        <f aca="false">IF($A24="","",IF(INDEX(Scoring!$AF$5:$AF$172,MATCH(20,Scoring!$AH$5:$AH$172,0))="Yes",IF(INDEX(Scoring!$Z$5:$Z$172,MATCH(20,Scoring!$AH$5:$AH$172,0))&lt;=Weights!$C$19,"Top 30 + added","Added to queue"),"Top 30 by score"))</f>
        <v>Top 30 by score</v>
      </c>
      <c r="D24" s="10" t="str">
        <f aca="false">IF($A24="","",INDEX(Scoring!$A$5:$A$172,MATCH(20,Scoring!$AH$5:$AH$172,0)))</f>
        <v>rana-alshehri</v>
      </c>
      <c r="E24" s="12" t="str">
        <f aca="false">IF($A24="","",INDEX(Scoring!$B$5:$B$172,MATCH(20,Scoring!$AH$5:$AH$172,0)))</f>
        <v>رنا الشهري</v>
      </c>
      <c r="F24" s="13" t="str">
        <f aca="false">IF($A24="","",INDEX(Scoring!$C$5:$C$172,MATCH(20,Scoring!$AH$5:$AH$172,0)))</f>
        <v>Rana Alshehri</v>
      </c>
      <c r="G24" s="13" t="str">
        <f aca="false">IF($A24="","",INDEX(Scoring!$D$5:$D$172,MATCH(20,Scoring!$AH$5:$AH$172,0)))</f>
        <v>مدينة الملك عبدالعزيز للعلوم والتقنية (KACST)</v>
      </c>
      <c r="H24" s="10" t="str">
        <f aca="false">IF($A24="","",INDEX(Scoring!$F$5:$F$172,MATCH(20,Scoring!$AH$5:$AH$172,0)))</f>
        <v>GenAI / NVIDIA</v>
      </c>
      <c r="I24" s="10" t="n">
        <f aca="false">IF($A24="","",INDEX(Scoring!$G$5:$G$172,MATCH(20,Scoring!$AH$5:$AH$172,0)))</f>
        <v>2026</v>
      </c>
      <c r="J24" s="10" t="str">
        <f aca="false">IF($A24="","",INDEX(Scoring!$H$5:$H$172,MATCH(20,Scoring!$AH$5:$AH$172,0)))</f>
        <v>n/a</v>
      </c>
      <c r="K24" s="14" t="n">
        <f aca="false">IF($A24="","",INDEX(Scoring!$W$5:$W$172,MATCH(20,Scoring!$AH$5:$AH$172,0)))</f>
        <v>69.3</v>
      </c>
      <c r="L24" s="11" t="str">
        <f aca="false">IF($A24="","",INDEX(Scoring!$AA$5:$AA$172,MATCH(20,Scoring!$AH$5:$AH$172,0)))</f>
        <v>Tier 2 – Priority</v>
      </c>
      <c r="M24" s="13" t="str">
        <f aca="false">IF($A24="","",INDEX(Scoring!$AB$5:$AB$172,MATCH(20,Scoring!$AH$5:$AH$172,0)))</f>
        <v>Strengths: Employer / company profile 5/5, Employment after training 5/5, Specialization 5/5. GenAI / NVIDIA track, cohort 2026; timing dated by year only. Weak on: Promotion, Career transition.</v>
      </c>
      <c r="N24" s="13" t="str">
        <f aca="false">IF($A24="","",INDEX(Scoring!$AD$5:$AD$172,MATCH(20,Scoring!$AH$5:$AH$172,0)))</f>
        <v>Clear draft quote with graduate</v>
      </c>
      <c r="O24" s="10" t="str">
        <f aca="false">IF($A24="","",INDEX(Scoring!$AE$5:$AE$172,MATCH(20,Scoring!$AH$5:$AH$172,0)))</f>
        <v>Draft</v>
      </c>
    </row>
    <row r="25" customFormat="false" ht="57.75" hidden="false" customHeight="true" outlineLevel="0" collapsed="false">
      <c r="A25" s="9" t="n">
        <f aca="false">IF(21&lt;=$C$3,21,"")</f>
        <v>21</v>
      </c>
      <c r="B25" s="10" t="n">
        <f aca="false">IF($A25="","",INDEX(Scoring!$Z$5:$Z$172,MATCH(21,Scoring!$AH$5:$AH$172,0)))</f>
        <v>21</v>
      </c>
      <c r="C25" s="11" t="str">
        <f aca="false">IF($A25="","",IF(INDEX(Scoring!$AF$5:$AF$172,MATCH(21,Scoring!$AH$5:$AH$172,0))="Yes",IF(INDEX(Scoring!$Z$5:$Z$172,MATCH(21,Scoring!$AH$5:$AH$172,0))&lt;=Weights!$C$19,"Top 30 + added","Added to queue"),"Top 30 by score"))</f>
        <v>Top 30 by score</v>
      </c>
      <c r="D25" s="10" t="str">
        <f aca="false">IF($A25="","",INDEX(Scoring!$A$5:$A$172,MATCH(21,Scoring!$AH$5:$AH$172,0)))</f>
        <v>hind-aljuaid</v>
      </c>
      <c r="E25" s="12" t="str">
        <f aca="false">IF($A25="","",INDEX(Scoring!$B$5:$B$172,MATCH(21,Scoring!$AH$5:$AH$172,0)))</f>
        <v>هند الجعيد</v>
      </c>
      <c r="F25" s="13" t="str">
        <f aca="false">IF($A25="","",INDEX(Scoring!$C$5:$C$172,MATCH(21,Scoring!$AH$5:$AH$172,0)))</f>
        <v>Hind Aljuaid</v>
      </c>
      <c r="G25" s="13" t="str">
        <f aca="false">IF($A25="","",INDEX(Scoring!$D$5:$D$172,MATCH(21,Scoring!$AH$5:$AH$172,0)))</f>
        <v>سدايا</v>
      </c>
      <c r="H25" s="10" t="str">
        <f aca="false">IF($A25="","",INDEX(Scoring!$F$5:$F$172,MATCH(21,Scoring!$AH$5:$AH$172,0)))</f>
        <v>GenAI / NVIDIA</v>
      </c>
      <c r="I25" s="10" t="n">
        <f aca="false">IF($A25="","",INDEX(Scoring!$G$5:$G$172,MATCH(21,Scoring!$AH$5:$AH$172,0)))</f>
        <v>2026</v>
      </c>
      <c r="J25" s="10" t="str">
        <f aca="false">IF($A25="","",INDEX(Scoring!$H$5:$H$172,MATCH(21,Scoring!$AH$5:$AH$172,0)))</f>
        <v>n/a</v>
      </c>
      <c r="K25" s="14" t="n">
        <f aca="false">IF($A25="","",INDEX(Scoring!$W$5:$W$172,MATCH(21,Scoring!$AH$5:$AH$172,0)))</f>
        <v>68.9</v>
      </c>
      <c r="L25" s="11" t="str">
        <f aca="false">IF($A25="","",INDEX(Scoring!$AA$5:$AA$172,MATCH(21,Scoring!$AH$5:$AH$172,0)))</f>
        <v>Tier 2 – Priority</v>
      </c>
      <c r="M25" s="13" t="str">
        <f aca="false">IF($A25="","",INDEX(Scoring!$AB$5:$AB$172,MATCH(21,Scoring!$AH$5:$AH$172,0)))</f>
        <v>Strengths: Specialization 5/5, Employment after training 4/5, Measurable impact 4/5. GenAI / NVIDIA track, cohort 2026; timing dated by year only. Weak on: Promotion, Career transition.</v>
      </c>
      <c r="N25" s="13" t="str">
        <f aca="false">IF($A25="","",INDEX(Scoring!$AD$5:$AD$172,MATCH(21,Scoring!$AH$5:$AH$172,0)))</f>
        <v>Clear draft quote with graduate</v>
      </c>
      <c r="O25" s="10" t="str">
        <f aca="false">IF($A25="","",INDEX(Scoring!$AE$5:$AE$172,MATCH(21,Scoring!$AH$5:$AH$172,0)))</f>
        <v>Draft</v>
      </c>
    </row>
    <row r="26" customFormat="false" ht="57.75" hidden="false" customHeight="true" outlineLevel="0" collapsed="false">
      <c r="A26" s="9" t="n">
        <f aca="false">IF(22&lt;=$C$3,22,"")</f>
        <v>22</v>
      </c>
      <c r="B26" s="10" t="n">
        <f aca="false">IF($A26="","",INDEX(Scoring!$Z$5:$Z$172,MATCH(22,Scoring!$AH$5:$AH$172,0)))</f>
        <v>22</v>
      </c>
      <c r="C26" s="11" t="str">
        <f aca="false">IF($A26="","",IF(INDEX(Scoring!$AF$5:$AF$172,MATCH(22,Scoring!$AH$5:$AH$172,0))="Yes",IF(INDEX(Scoring!$Z$5:$Z$172,MATCH(22,Scoring!$AH$5:$AH$172,0))&lt;=Weights!$C$19,"Top 30 + added","Added to queue"),"Top 30 by score"))</f>
        <v>Top 30 by score</v>
      </c>
      <c r="D26" s="10" t="str">
        <f aca="false">IF($A26="","",INDEX(Scoring!$A$5:$A$172,MATCH(22,Scoring!$AH$5:$AH$172,0)))</f>
        <v>hussein-mohsen</v>
      </c>
      <c r="E26" s="12" t="str">
        <f aca="false">IF($A26="","",INDEX(Scoring!$B$5:$B$172,MATCH(22,Scoring!$AH$5:$AH$172,0)))</f>
        <v>حسين محسن</v>
      </c>
      <c r="F26" s="13" t="str">
        <f aca="false">IF($A26="","",INDEX(Scoring!$C$5:$C$172,MATCH(22,Scoring!$AH$5:$AH$172,0)))</f>
        <v>Hussain Mohsen</v>
      </c>
      <c r="G26" s="13" t="str">
        <f aca="false">IF($A26="","",INDEX(Scoring!$D$5:$D$172,MATCH(22,Scoring!$AH$5:$AH$172,0)))</f>
        <v>أكاديمية كاوست</v>
      </c>
      <c r="H26" s="10" t="str">
        <f aca="false">IF($A26="","",INDEX(Scoring!$F$5:$F$172,MATCH(22,Scoring!$AH$5:$AH$172,0)))</f>
        <v>Data Engineering</v>
      </c>
      <c r="I26" s="10" t="n">
        <f aca="false">IF($A26="","",INDEX(Scoring!$G$5:$G$172,MATCH(22,Scoring!$AH$5:$AH$172,0)))</f>
        <v>2025</v>
      </c>
      <c r="J26" s="10" t="str">
        <f aca="false">IF($A26="","",INDEX(Scoring!$H$5:$H$172,MATCH(22,Scoring!$AH$5:$AH$172,0)))</f>
        <v>n/a</v>
      </c>
      <c r="K26" s="14" t="n">
        <f aca="false">IF($A26="","",INDEX(Scoring!$W$5:$W$172,MATCH(22,Scoring!$AH$5:$AH$172,0)))</f>
        <v>68.7</v>
      </c>
      <c r="L26" s="11" t="str">
        <f aca="false">IF($A26="","",INDEX(Scoring!$AA$5:$AA$172,MATCH(22,Scoring!$AH$5:$AH$172,0)))</f>
        <v>Tier 2 – Priority</v>
      </c>
      <c r="M26" s="13" t="str">
        <f aca="false">IF($A26="","",INDEX(Scoring!$AB$5:$AB$172,MATCH(22,Scoring!$AH$5:$AH$172,0)))</f>
        <v>Strengths: Employment after training 5/5, Employer / company profile 4/5, Specialization 5/5. Data Engineering track, cohort 2025; timing dated by year only. Weak on: Promotion.</v>
      </c>
      <c r="N26" s="13" t="str">
        <f aca="false">IF($A26="","",INDEX(Scoring!$AD$5:$AD$172,MATCH(22,Scoring!$AH$5:$AH$172,0)))</f>
        <v>Clear draft quote with graduate; Confirm month-level date</v>
      </c>
      <c r="O26" s="10" t="str">
        <f aca="false">IF($A26="","",INDEX(Scoring!$AE$5:$AE$172,MATCH(22,Scoring!$AH$5:$AH$172,0)))</f>
        <v>Draft</v>
      </c>
    </row>
    <row r="27" customFormat="false" ht="57.75" hidden="false" customHeight="true" outlineLevel="0" collapsed="false">
      <c r="A27" s="9" t="n">
        <f aca="false">IF(23&lt;=$C$3,23,"")</f>
        <v>23</v>
      </c>
      <c r="B27" s="10" t="n">
        <f aca="false">IF($A27="","",INDEX(Scoring!$Z$5:$Z$172,MATCH(23,Scoring!$AH$5:$AH$172,0)))</f>
        <v>23</v>
      </c>
      <c r="C27" s="11" t="str">
        <f aca="false">IF($A27="","",IF(INDEX(Scoring!$AF$5:$AF$172,MATCH(23,Scoring!$AH$5:$AH$172,0))="Yes",IF(INDEX(Scoring!$Z$5:$Z$172,MATCH(23,Scoring!$AH$5:$AH$172,0))&lt;=Weights!$C$19,"Top 30 + added","Added to queue"),"Top 30 by score"))</f>
        <v>Top 30 by score</v>
      </c>
      <c r="D27" s="10" t="str">
        <f aca="false">IF($A27="","",INDEX(Scoring!$A$5:$A$172,MATCH(23,Scoring!$AH$5:$AH$172,0)))</f>
        <v>meead-alshaibani</v>
      </c>
      <c r="E27" s="12" t="str">
        <f aca="false">IF($A27="","",INDEX(Scoring!$B$5:$B$172,MATCH(23,Scoring!$AH$5:$AH$172,0)))</f>
        <v>ميعاد الشيباني</v>
      </c>
      <c r="F27" s="13" t="str">
        <f aca="false">IF($A27="","",INDEX(Scoring!$C$5:$C$172,MATCH(23,Scoring!$AH$5:$AH$172,0)))</f>
        <v>Meead Alshaibani</v>
      </c>
      <c r="G27" s="13" t="str">
        <f aca="false">IF($A27="","",INDEX(Scoring!$D$5:$D$172,MATCH(23,Scoring!$AH$5:$AH$172,0)))</f>
        <v>صندوق التنمية العقارية (REDF)</v>
      </c>
      <c r="H27" s="10" t="str">
        <f aca="false">IF($A27="","",INDEX(Scoring!$F$5:$F$172,MATCH(23,Scoring!$AH$5:$AH$172,0)))</f>
        <v>GenAI / NVIDIA</v>
      </c>
      <c r="I27" s="10" t="n">
        <f aca="false">IF($A27="","",INDEX(Scoring!$G$5:$G$172,MATCH(23,Scoring!$AH$5:$AH$172,0)))</f>
        <v>2026</v>
      </c>
      <c r="J27" s="10" t="n">
        <f aca="false">IF($A27="","",INDEX(Scoring!$H$5:$H$172,MATCH(23,Scoring!$AH$5:$AH$172,0)))</f>
        <v>4</v>
      </c>
      <c r="K27" s="14" t="n">
        <f aca="false">IF($A27="","",INDEX(Scoring!$W$5:$W$172,MATCH(23,Scoring!$AH$5:$AH$172,0)))</f>
        <v>68.7</v>
      </c>
      <c r="L27" s="11" t="str">
        <f aca="false">IF($A27="","",INDEX(Scoring!$AA$5:$AA$172,MATCH(23,Scoring!$AH$5:$AH$172,0)))</f>
        <v>Tier 2 – Priority</v>
      </c>
      <c r="M27" s="13" t="str">
        <f aca="false">IF($A27="","",INDEX(Scoring!$AB$5:$AB$172,MATCH(23,Scoring!$AH$5:$AH$172,0)))</f>
        <v>Strengths: Employment after training 5/5, Employer / company profile 4/5, Specialization 5/5. GenAI / NVIDIA track, cohort 2026; 4 months to outcome. Weak on: Promotion, Career transition.</v>
      </c>
      <c r="N27" s="13" t="str">
        <f aca="false">IF($A27="","",INDEX(Scoring!$AD$5:$AD$172,MATCH(23,Scoring!$AH$5:$AH$172,0)))</f>
        <v>Clear draft quote with graduate</v>
      </c>
      <c r="O27" s="10" t="str">
        <f aca="false">IF($A27="","",INDEX(Scoring!$AE$5:$AE$172,MATCH(23,Scoring!$AH$5:$AH$172,0)))</f>
        <v>Draft</v>
      </c>
    </row>
    <row r="28" customFormat="false" ht="57.75" hidden="false" customHeight="true" outlineLevel="0" collapsed="false">
      <c r="A28" s="9" t="n">
        <f aca="false">IF(24&lt;=$C$3,24,"")</f>
        <v>24</v>
      </c>
      <c r="B28" s="10" t="n">
        <f aca="false">IF($A28="","",INDEX(Scoring!$Z$5:$Z$172,MATCH(24,Scoring!$AH$5:$AH$172,0)))</f>
        <v>24</v>
      </c>
      <c r="C28" s="11" t="str">
        <f aca="false">IF($A28="","",IF(INDEX(Scoring!$AF$5:$AF$172,MATCH(24,Scoring!$AH$5:$AH$172,0))="Yes",IF(INDEX(Scoring!$Z$5:$Z$172,MATCH(24,Scoring!$AH$5:$AH$172,0))&lt;=Weights!$C$19,"Top 30 + added","Added to queue"),"Top 30 by score"))</f>
        <v>Top 30 + added</v>
      </c>
      <c r="D28" s="10" t="str">
        <f aca="false">IF($A28="","",INDEX(Scoring!$A$5:$A$172,MATCH(24,Scoring!$AH$5:$AH$172,0)))</f>
        <v>faris-almuteri</v>
      </c>
      <c r="E28" s="12" t="str">
        <f aca="false">IF($A28="","",INDEX(Scoring!$B$5:$B$172,MATCH(24,Scoring!$AH$5:$AH$172,0)))</f>
        <v>فارس المطيري</v>
      </c>
      <c r="F28" s="13" t="str">
        <f aca="false">IF($A28="","",INDEX(Scoring!$C$5:$C$172,MATCH(24,Scoring!$AH$5:$AH$172,0)))</f>
        <v>Faris Al Muteri</v>
      </c>
      <c r="G28" s="13" t="str">
        <f aca="false">IF($A28="","",INDEX(Scoring!$D$5:$D$172,MATCH(24,Scoring!$AH$5:$AH$172,0)))</f>
        <v>مركز الملك عبدالله العالمي للأبحاث الطبية KAIMRC</v>
      </c>
      <c r="H28" s="10" t="str">
        <f aca="false">IF($A28="","",INDEX(Scoring!$F$5:$F$172,MATCH(24,Scoring!$AH$5:$AH$172,0)))</f>
        <v>Advanced AI Pathways</v>
      </c>
      <c r="I28" s="10" t="n">
        <f aca="false">IF($A28="","",INDEX(Scoring!$G$5:$G$172,MATCH(24,Scoring!$AH$5:$AH$172,0)))</f>
        <v>2024</v>
      </c>
      <c r="J28" s="10" t="n">
        <f aca="false">IF($A28="","",INDEX(Scoring!$H$5:$H$172,MATCH(24,Scoring!$AH$5:$AH$172,0)))</f>
        <v>7</v>
      </c>
      <c r="K28" s="14" t="n">
        <f aca="false">IF($A28="","",INDEX(Scoring!$W$5:$W$172,MATCH(24,Scoring!$AH$5:$AH$172,0)))</f>
        <v>68.4</v>
      </c>
      <c r="L28" s="11" t="str">
        <f aca="false">IF($A28="","",INDEX(Scoring!$AA$5:$AA$172,MATCH(24,Scoring!$AH$5:$AH$172,0)))</f>
        <v>Tier 2 – Priority</v>
      </c>
      <c r="M28" s="13" t="str">
        <f aca="false">IF($A28="","",INDEX(Scoring!$AB$5:$AB$172,MATCH(24,Scoring!$AH$5:$AH$172,0)))</f>
        <v>Strengths: Employer / company profile 5/5, Story completeness 4.8/5, Specialization 4/5. Advanced AI Pathways track, cohort 2024; 7 months to outcome. Weak on: Career transition.</v>
      </c>
      <c r="N28" s="13" t="str">
        <f aca="false">IF($A28="","",INDEX(Scoring!$AD$5:$AD$172,MATCH(24,Scoring!$AH$5:$AH$172,0)))</f>
        <v>Clear draft quote with graduate</v>
      </c>
      <c r="O28" s="10" t="str">
        <f aca="false">IF($A28="","",INDEX(Scoring!$AE$5:$AE$172,MATCH(24,Scoring!$AH$5:$AH$172,0)))</f>
        <v>Draft</v>
      </c>
    </row>
    <row r="29" customFormat="false" ht="57.75" hidden="false" customHeight="true" outlineLevel="0" collapsed="false">
      <c r="A29" s="9" t="n">
        <f aca="false">IF(25&lt;=$C$3,25,"")</f>
        <v>25</v>
      </c>
      <c r="B29" s="10" t="n">
        <f aca="false">IF($A29="","",INDEX(Scoring!$Z$5:$Z$172,MATCH(25,Scoring!$AH$5:$AH$172,0)))</f>
        <v>25</v>
      </c>
      <c r="C29" s="11" t="str">
        <f aca="false">IF($A29="","",IF(INDEX(Scoring!$AF$5:$AF$172,MATCH(25,Scoring!$AH$5:$AH$172,0))="Yes",IF(INDEX(Scoring!$Z$5:$Z$172,MATCH(25,Scoring!$AH$5:$AH$172,0))&lt;=Weights!$C$19,"Top 30 + added","Added to queue"),"Top 30 by score"))</f>
        <v>Top 30 by score</v>
      </c>
      <c r="D29" s="10" t="str">
        <f aca="false">IF($A29="","",INDEX(Scoring!$A$5:$A$172,MATCH(25,Scoring!$AH$5:$AH$172,0)))</f>
        <v>wadha-almattar</v>
      </c>
      <c r="E29" s="12" t="str">
        <f aca="false">IF($A29="","",INDEX(Scoring!$B$5:$B$172,MATCH(25,Scoring!$AH$5:$AH$172,0)))</f>
        <v>د. وضحة المطر</v>
      </c>
      <c r="F29" s="13" t="str">
        <f aca="false">IF($A29="","",INDEX(Scoring!$C$5:$C$172,MATCH(25,Scoring!$AH$5:$AH$172,0)))</f>
        <v>Dr. Wadha Almattar</v>
      </c>
      <c r="G29" s="13" t="str">
        <f aca="false">IF($A29="","",INDEX(Scoring!$D$5:$D$172,MATCH(25,Scoring!$AH$5:$AH$172,0)))</f>
        <v>جامعة الإمام عبدالرحمن بن فيصل</v>
      </c>
      <c r="H29" s="10" t="str">
        <f aca="false">IF($A29="","",INDEX(Scoring!$F$5:$F$172,MATCH(25,Scoring!$AH$5:$AH$172,0)))</f>
        <v>GenAI / NVIDIA</v>
      </c>
      <c r="I29" s="10" t="n">
        <f aca="false">IF($A29="","",INDEX(Scoring!$G$5:$G$172,MATCH(25,Scoring!$AH$5:$AH$172,0)))</f>
        <v>2025</v>
      </c>
      <c r="J29" s="10" t="n">
        <f aca="false">IF($A29="","",INDEX(Scoring!$H$5:$H$172,MATCH(25,Scoring!$AH$5:$AH$172,0)))</f>
        <v>6</v>
      </c>
      <c r="K29" s="14" t="n">
        <f aca="false">IF($A29="","",INDEX(Scoring!$W$5:$W$172,MATCH(25,Scoring!$AH$5:$AH$172,0)))</f>
        <v>68.4</v>
      </c>
      <c r="L29" s="11" t="str">
        <f aca="false">IF($A29="","",INDEX(Scoring!$AA$5:$AA$172,MATCH(25,Scoring!$AH$5:$AH$172,0)))</f>
        <v>Tier 2 – Priority</v>
      </c>
      <c r="M29" s="13" t="str">
        <f aca="false">IF($A29="","",INDEX(Scoring!$AB$5:$AB$172,MATCH(25,Scoring!$AH$5:$AH$172,0)))</f>
        <v>Strengths: Employer / company profile 4/5, Achievements 5/5, Strategic relevance 5/5. GenAI / NVIDIA track, cohort 2025; 6 months to outcome. Weak on: Career transition.</v>
      </c>
      <c r="N29" s="13" t="str">
        <f aca="false">IF($A29="","",INDEX(Scoring!$AD$5:$AD$172,MATCH(25,Scoring!$AH$5:$AH$172,0)))</f>
        <v>Clear draft quote with graduate</v>
      </c>
      <c r="O29" s="10" t="str">
        <f aca="false">IF($A29="","",INDEX(Scoring!$AE$5:$AE$172,MATCH(25,Scoring!$AH$5:$AH$172,0)))</f>
        <v>Draft</v>
      </c>
    </row>
    <row r="30" customFormat="false" ht="57.75" hidden="false" customHeight="true" outlineLevel="0" collapsed="false">
      <c r="A30" s="9" t="n">
        <f aca="false">IF(26&lt;=$C$3,26,"")</f>
        <v>26</v>
      </c>
      <c r="B30" s="10" t="n">
        <f aca="false">IF($A30="","",INDEX(Scoring!$Z$5:$Z$172,MATCH(26,Scoring!$AH$5:$AH$172,0)))</f>
        <v>26</v>
      </c>
      <c r="C30" s="11" t="str">
        <f aca="false">IF($A30="","",IF(INDEX(Scoring!$AF$5:$AF$172,MATCH(26,Scoring!$AH$5:$AH$172,0))="Yes",IF(INDEX(Scoring!$Z$5:$Z$172,MATCH(26,Scoring!$AH$5:$AH$172,0))&lt;=Weights!$C$19,"Top 30 + added","Added to queue"),"Top 30 by score"))</f>
        <v>Top 30 by score</v>
      </c>
      <c r="D30" s="10" t="str">
        <f aca="false">IF($A30="","",INDEX(Scoring!$A$5:$A$172,MATCH(26,Scoring!$AH$5:$AH$172,0)))</f>
        <v>dimah-albunayyih</v>
      </c>
      <c r="E30" s="12" t="str">
        <f aca="false">IF($A30="","",INDEX(Scoring!$B$5:$B$172,MATCH(26,Scoring!$AH$5:$AH$172,0)))</f>
        <v>ديمة البنية</v>
      </c>
      <c r="F30" s="13" t="str">
        <f aca="false">IF($A30="","",INDEX(Scoring!$C$5:$C$172,MATCH(26,Scoring!$AH$5:$AH$172,0)))</f>
        <v>Dimah Albunayyih</v>
      </c>
      <c r="G30" s="13" t="str">
        <f aca="false">IF($A30="","",INDEX(Scoring!$D$5:$D$172,MATCH(26,Scoring!$AH$5:$AH$172,0)))</f>
        <v>شركة علم</v>
      </c>
      <c r="H30" s="10" t="str">
        <f aca="false">IF($A30="","",INDEX(Scoring!$F$5:$F$172,MATCH(26,Scoring!$AH$5:$AH$172,0)))</f>
        <v>Data Science &amp; AI (T5)</v>
      </c>
      <c r="I30" s="10" t="n">
        <f aca="false">IF($A30="","",INDEX(Scoring!$G$5:$G$172,MATCH(26,Scoring!$AH$5:$AH$172,0)))</f>
        <v>2021</v>
      </c>
      <c r="J30" s="10" t="n">
        <f aca="false">IF($A30="","",INDEX(Scoring!$H$5:$H$172,MATCH(26,Scoring!$AH$5:$AH$172,0)))</f>
        <v>4</v>
      </c>
      <c r="K30" s="14" t="n">
        <f aca="false">IF($A30="","",INDEX(Scoring!$W$5:$W$172,MATCH(26,Scoring!$AH$5:$AH$172,0)))</f>
        <v>68.2</v>
      </c>
      <c r="L30" s="11" t="str">
        <f aca="false">IF($A30="","",INDEX(Scoring!$AA$5:$AA$172,MATCH(26,Scoring!$AH$5:$AH$172,0)))</f>
        <v>Tier 2 – Priority</v>
      </c>
      <c r="M30" s="13" t="str">
        <f aca="false">IF($A30="","",INDEX(Scoring!$AB$5:$AB$172,MATCH(26,Scoring!$AH$5:$AH$172,0)))</f>
        <v>Strengths: Employer / company profile 5/5, Employment after training 5/5, Promotion 5/5. Data Science &amp; AI (T5) track, cohort 2021; 4 months to outcome. Weak on: Career transition.</v>
      </c>
      <c r="N30" s="13" t="str">
        <f aca="false">IF($A30="","",INDEX(Scoring!$AD$5:$AD$172,MATCH(26,Scoring!$AH$5:$AH$172,0)))</f>
        <v>Clear draft quote with graduate</v>
      </c>
      <c r="O30" s="10" t="str">
        <f aca="false">IF($A30="","",INDEX(Scoring!$AE$5:$AE$172,MATCH(26,Scoring!$AH$5:$AH$172,0)))</f>
        <v>Draft</v>
      </c>
    </row>
    <row r="31" customFormat="false" ht="57.75" hidden="false" customHeight="true" outlineLevel="0" collapsed="false">
      <c r="A31" s="9" t="n">
        <f aca="false">IF(27&lt;=$C$3,27,"")</f>
        <v>27</v>
      </c>
      <c r="B31" s="10" t="n">
        <f aca="false">IF($A31="","",INDEX(Scoring!$Z$5:$Z$172,MATCH(27,Scoring!$AH$5:$AH$172,0)))</f>
        <v>27</v>
      </c>
      <c r="C31" s="11" t="str">
        <f aca="false">IF($A31="","",IF(INDEX(Scoring!$AF$5:$AF$172,MATCH(27,Scoring!$AH$5:$AH$172,0))="Yes",IF(INDEX(Scoring!$Z$5:$Z$172,MATCH(27,Scoring!$AH$5:$AH$172,0))&lt;=Weights!$C$19,"Top 30 + added","Added to queue"),"Top 30 by score"))</f>
        <v>Top 30 by score</v>
      </c>
      <c r="D31" s="10" t="str">
        <f aca="false">IF($A31="","",INDEX(Scoring!$A$5:$A$172,MATCH(27,Scoring!$AH$5:$AH$172,0)))</f>
        <v>radhyah-alzubaidi</v>
      </c>
      <c r="E31" s="12" t="str">
        <f aca="false">IF($A31="","",INDEX(Scoring!$B$5:$B$172,MATCH(27,Scoring!$AH$5:$AH$172,0)))</f>
        <v>رضيه الزبيدي</v>
      </c>
      <c r="F31" s="13" t="str">
        <f aca="false">IF($A31="","",INDEX(Scoring!$C$5:$C$172,MATCH(27,Scoring!$AH$5:$AH$172,0)))</f>
        <v>Radhyah Alzubaidi</v>
      </c>
      <c r="G31" s="13" t="str">
        <f aca="false">IF($A31="","",INDEX(Scoring!$D$5:$D$172,MATCH(27,Scoring!$AH$5:$AH$172,0)))</f>
        <v>ماستر ووركس (Master Works)</v>
      </c>
      <c r="H31" s="10" t="str">
        <f aca="false">IF($A31="","",INDEX(Scoring!$F$5:$F$172,MATCH(27,Scoring!$AH$5:$AH$172,0)))</f>
        <v>LLM</v>
      </c>
      <c r="I31" s="10" t="n">
        <f aca="false">IF($A31="","",INDEX(Scoring!$G$5:$G$172,MATCH(27,Scoring!$AH$5:$AH$172,0)))</f>
        <v>2024</v>
      </c>
      <c r="J31" s="10" t="n">
        <f aca="false">IF($A31="","",INDEX(Scoring!$H$5:$H$172,MATCH(27,Scoring!$AH$5:$AH$172,0)))</f>
        <v>7</v>
      </c>
      <c r="K31" s="14" t="n">
        <f aca="false">IF($A31="","",INDEX(Scoring!$W$5:$W$172,MATCH(27,Scoring!$AH$5:$AH$172,0)))</f>
        <v>68.1</v>
      </c>
      <c r="L31" s="11" t="str">
        <f aca="false">IF($A31="","",INDEX(Scoring!$AA$5:$AA$172,MATCH(27,Scoring!$AH$5:$AH$172,0)))</f>
        <v>Tier 2 – Priority</v>
      </c>
      <c r="M31" s="13" t="str">
        <f aca="false">IF($A31="","",INDEX(Scoring!$AB$5:$AB$172,MATCH(27,Scoring!$AH$5:$AH$172,0)))</f>
        <v>Strengths: Employment after training 5/5, Employer / company profile 4/5, Specialization 5/5. LLM track, cohort 2024; 7 months to outcome. Weak on: Career transition.</v>
      </c>
      <c r="N31" s="13" t="str">
        <f aca="false">IF($A31="","",INDEX(Scoring!$AD$5:$AD$172,MATCH(27,Scoring!$AH$5:$AH$172,0)))</f>
        <v>Clear draft quote with graduate; Non-photo image (avatar/monogram)</v>
      </c>
      <c r="O31" s="10" t="str">
        <f aca="false">IF($A31="","",INDEX(Scoring!$AE$5:$AE$172,MATCH(27,Scoring!$AH$5:$AH$172,0)))</f>
        <v>Draft</v>
      </c>
    </row>
    <row r="32" customFormat="false" ht="57.75" hidden="false" customHeight="true" outlineLevel="0" collapsed="false">
      <c r="A32" s="9" t="n">
        <f aca="false">IF(28&lt;=$C$3,28,"")</f>
        <v>28</v>
      </c>
      <c r="B32" s="10" t="n">
        <f aca="false">IF($A32="","",INDEX(Scoring!$Z$5:$Z$172,MATCH(28,Scoring!$AH$5:$AH$172,0)))</f>
        <v>28</v>
      </c>
      <c r="C32" s="11" t="str">
        <f aca="false">IF($A32="","",IF(INDEX(Scoring!$AF$5:$AF$172,MATCH(28,Scoring!$AH$5:$AH$172,0))="Yes",IF(INDEX(Scoring!$Z$5:$Z$172,MATCH(28,Scoring!$AH$5:$AH$172,0))&lt;=Weights!$C$19,"Top 30 + added","Added to queue"),"Top 30 by score"))</f>
        <v>Top 30 by score</v>
      </c>
      <c r="D32" s="10" t="str">
        <f aca="false">IF($A32="","",INDEX(Scoring!$A$5:$A$172,MATCH(28,Scoring!$AH$5:$AH$172,0)))</f>
        <v>ranya-alkahtani</v>
      </c>
      <c r="E32" s="12" t="str">
        <f aca="false">IF($A32="","",INDEX(Scoring!$B$5:$B$172,MATCH(28,Scoring!$AH$5:$AH$172,0)))</f>
        <v>رانيا القحطاني</v>
      </c>
      <c r="F32" s="13" t="str">
        <f aca="false">IF($A32="","",INDEX(Scoring!$C$5:$C$172,MATCH(28,Scoring!$AH$5:$AH$172,0)))</f>
        <v>Ranya A. Alkahtani</v>
      </c>
      <c r="G32" s="13" t="str">
        <f aca="false">IF($A32="","",INDEX(Scoring!$D$5:$D$172,MATCH(28,Scoring!$AH$5:$AH$172,0)))</f>
        <v>هيوماين (HUMAIN)</v>
      </c>
      <c r="H32" s="10" t="str">
        <f aca="false">IF($A32="","",INDEX(Scoring!$F$5:$F$172,MATCH(28,Scoring!$AH$5:$AH$172,0)))</f>
        <v>Data Science &amp; AI (T5)</v>
      </c>
      <c r="I32" s="10" t="n">
        <f aca="false">IF($A32="","",INDEX(Scoring!$G$5:$G$172,MATCH(28,Scoring!$AH$5:$AH$172,0)))</f>
        <v>2021</v>
      </c>
      <c r="J32" s="10" t="n">
        <f aca="false">IF($A32="","",INDEX(Scoring!$H$5:$H$172,MATCH(28,Scoring!$AH$5:$AH$172,0)))</f>
        <v>0</v>
      </c>
      <c r="K32" s="14" t="n">
        <f aca="false">IF($A32="","",INDEX(Scoring!$W$5:$W$172,MATCH(28,Scoring!$AH$5:$AH$172,0)))</f>
        <v>68</v>
      </c>
      <c r="L32" s="11" t="str">
        <f aca="false">IF($A32="","",INDEX(Scoring!$AA$5:$AA$172,MATCH(28,Scoring!$AH$5:$AH$172,0)))</f>
        <v>Tier 2 – Priority</v>
      </c>
      <c r="M32" s="13" t="str">
        <f aca="false">IF($A32="","",INDEX(Scoring!$AB$5:$AB$172,MATCH(28,Scoring!$AH$5:$AH$172,0)))</f>
        <v>Strengths: Employer / company profile 5/5, Specialization 5/5, Employment after training 4/5. Data Science &amp; AI (T5) track, cohort 2021; outcome in completion month.</v>
      </c>
      <c r="N32" s="13" t="str">
        <f aca="false">IF($A32="","",INDEX(Scoring!$AD$5:$AD$172,MATCH(28,Scoring!$AH$5:$AH$172,0)))</f>
        <v>Clear draft quote with graduate; Hire in completion month — check subsequence</v>
      </c>
      <c r="O32" s="10" t="str">
        <f aca="false">IF($A32="","",INDEX(Scoring!$AE$5:$AE$172,MATCH(28,Scoring!$AH$5:$AH$172,0)))</f>
        <v>Draft</v>
      </c>
    </row>
    <row r="33" customFormat="false" ht="57.75" hidden="false" customHeight="true" outlineLevel="0" collapsed="false">
      <c r="A33" s="9" t="n">
        <f aca="false">IF(29&lt;=$C$3,29,"")</f>
        <v>29</v>
      </c>
      <c r="B33" s="10" t="n">
        <f aca="false">IF($A33="","",INDEX(Scoring!$Z$5:$Z$172,MATCH(29,Scoring!$AH$5:$AH$172,0)))</f>
        <v>29</v>
      </c>
      <c r="C33" s="11" t="str">
        <f aca="false">IF($A33="","",IF(INDEX(Scoring!$AF$5:$AF$172,MATCH(29,Scoring!$AH$5:$AH$172,0))="Yes",IF(INDEX(Scoring!$Z$5:$Z$172,MATCH(29,Scoring!$AH$5:$AH$172,0))&lt;=Weights!$C$19,"Top 30 + added","Added to queue"),"Top 30 by score"))</f>
        <v>Top 30 by score</v>
      </c>
      <c r="D33" s="10" t="str">
        <f aca="false">IF($A33="","",INDEX(Scoring!$A$5:$A$172,MATCH(29,Scoring!$AH$5:$AH$172,0)))</f>
        <v>bayan-albaqami</v>
      </c>
      <c r="E33" s="12" t="str">
        <f aca="false">IF($A33="","",INDEX(Scoring!$B$5:$B$172,MATCH(29,Scoring!$AH$5:$AH$172,0)))</f>
        <v>Bayan Albaqami</v>
      </c>
      <c r="F33" s="13" t="str">
        <f aca="false">IF($A33="","",INDEX(Scoring!$C$5:$C$172,MATCH(29,Scoring!$AH$5:$AH$172,0)))</f>
        <v>Bayan Albaqami</v>
      </c>
      <c r="G33" s="13" t="str">
        <f aca="false">IF($A33="","",INDEX(Scoring!$D$5:$D$172,MATCH(29,Scoring!$AH$5:$AH$172,0)))</f>
        <v>بنك التنمية الاجتماعية</v>
      </c>
      <c r="H33" s="10" t="str">
        <f aca="false">IF($A33="","",INDEX(Scoring!$F$5:$F$172,MATCH(29,Scoring!$AH$5:$AH$172,0)))</f>
        <v>Data Engineering</v>
      </c>
      <c r="I33" s="10" t="n">
        <f aca="false">IF($A33="","",INDEX(Scoring!$G$5:$G$172,MATCH(29,Scoring!$AH$5:$AH$172,0)))</f>
        <v>2025</v>
      </c>
      <c r="J33" s="10" t="n">
        <f aca="false">IF($A33="","",INDEX(Scoring!$H$5:$H$172,MATCH(29,Scoring!$AH$5:$AH$172,0)))</f>
        <v>4</v>
      </c>
      <c r="K33" s="14" t="n">
        <f aca="false">IF($A33="","",INDEX(Scoring!$W$5:$W$172,MATCH(29,Scoring!$AH$5:$AH$172,0)))</f>
        <v>67.7</v>
      </c>
      <c r="L33" s="11" t="str">
        <f aca="false">IF($A33="","",INDEX(Scoring!$AA$5:$AA$172,MATCH(29,Scoring!$AH$5:$AH$172,0)))</f>
        <v>Tier 2 – Priority</v>
      </c>
      <c r="M33" s="13" t="str">
        <f aca="false">IF($A33="","",INDEX(Scoring!$AB$5:$AB$172,MATCH(29,Scoring!$AH$5:$AH$172,0)))</f>
        <v>Strengths: Employment after training 5/5, Employer / company profile 4/5, Story completeness 5/5. Data Engineering track, cohort 2025; 4 months to outcome. Weak on: Promotion, Career transition.</v>
      </c>
      <c r="N33" s="13" t="str">
        <f aca="false">IF($A33="","",INDEX(Scoring!$AD$5:$AD$172,MATCH(29,Scoring!$AH$5:$AH$172,0)))</f>
        <v>Clear draft quote with graduate</v>
      </c>
      <c r="O33" s="10" t="str">
        <f aca="false">IF($A33="","",INDEX(Scoring!$AE$5:$AE$172,MATCH(29,Scoring!$AH$5:$AH$172,0)))</f>
        <v>Draft</v>
      </c>
    </row>
    <row r="34" customFormat="false" ht="57.75" hidden="false" customHeight="true" outlineLevel="0" collapsed="false">
      <c r="A34" s="9" t="n">
        <f aca="false">IF(30&lt;=$C$3,30,"")</f>
        <v>30</v>
      </c>
      <c r="B34" s="10" t="n">
        <f aca="false">IF($A34="","",INDEX(Scoring!$Z$5:$Z$172,MATCH(30,Scoring!$AH$5:$AH$172,0)))</f>
        <v>30</v>
      </c>
      <c r="C34" s="11" t="str">
        <f aca="false">IF($A34="","",IF(INDEX(Scoring!$AF$5:$AF$172,MATCH(30,Scoring!$AH$5:$AH$172,0))="Yes",IF(INDEX(Scoring!$Z$5:$Z$172,MATCH(30,Scoring!$AH$5:$AH$172,0))&lt;=Weights!$C$19,"Top 30 + added","Added to queue"),"Top 30 by score"))</f>
        <v>Top 30 by score</v>
      </c>
      <c r="D34" s="10" t="str">
        <f aca="false">IF($A34="","",INDEX(Scoring!$A$5:$A$172,MATCH(30,Scoring!$AH$5:$AH$172,0)))</f>
        <v>mohammed-albrayh</v>
      </c>
      <c r="E34" s="12" t="str">
        <f aca="false">IF($A34="","",INDEX(Scoring!$B$5:$B$172,MATCH(30,Scoring!$AH$5:$AH$172,0)))</f>
        <v>محمد البريح</v>
      </c>
      <c r="F34" s="13" t="str">
        <f aca="false">IF($A34="","",INDEX(Scoring!$C$5:$C$172,MATCH(30,Scoring!$AH$5:$AH$172,0)))</f>
        <v>Mohammed Albrayh</v>
      </c>
      <c r="G34" s="13" t="str">
        <f aca="false">IF($A34="","",INDEX(Scoring!$D$5:$D$172,MATCH(30,Scoring!$AH$5:$AH$172,0)))</f>
        <v>سدايا</v>
      </c>
      <c r="H34" s="10" t="str">
        <f aca="false">IF($A34="","",INDEX(Scoring!$F$5:$F$172,MATCH(30,Scoring!$AH$5:$AH$172,0)))</f>
        <v>LLM</v>
      </c>
      <c r="I34" s="10" t="n">
        <f aca="false">IF($A34="","",INDEX(Scoring!$G$5:$G$172,MATCH(30,Scoring!$AH$5:$AH$172,0)))</f>
        <v>2024</v>
      </c>
      <c r="J34" s="10" t="n">
        <f aca="false">IF($A34="","",INDEX(Scoring!$H$5:$H$172,MATCH(30,Scoring!$AH$5:$AH$172,0)))</f>
        <v>3</v>
      </c>
      <c r="K34" s="14" t="n">
        <f aca="false">IF($A34="","",INDEX(Scoring!$W$5:$W$172,MATCH(30,Scoring!$AH$5:$AH$172,0)))</f>
        <v>67.7</v>
      </c>
      <c r="L34" s="11" t="str">
        <f aca="false">IF($A34="","",INDEX(Scoring!$AA$5:$AA$172,MATCH(30,Scoring!$AH$5:$AH$172,0)))</f>
        <v>Tier 2 – Priority</v>
      </c>
      <c r="M34" s="13" t="str">
        <f aca="false">IF($A34="","",INDEX(Scoring!$AB$5:$AB$172,MATCH(30,Scoring!$AH$5:$AH$172,0)))</f>
        <v>Strengths: Specialization 5/5, Employment after training 4/5, Story completeness 4.8/5. LLM track, cohort 2024; 3 months to outcome. Weak on: Promotion.</v>
      </c>
      <c r="N34" s="13" t="str">
        <f aca="false">IF($A34="","",INDEX(Scoring!$AD$5:$AD$172,MATCH(30,Scoring!$AH$5:$AH$172,0)))</f>
        <v>Clear draft quote with graduate</v>
      </c>
      <c r="O34" s="10" t="str">
        <f aca="false">IF($A34="","",INDEX(Scoring!$AE$5:$AE$172,MATCH(30,Scoring!$AH$5:$AH$172,0)))</f>
        <v>Draft</v>
      </c>
    </row>
    <row r="35" customFormat="false" ht="57.75" hidden="false" customHeight="true" outlineLevel="0" collapsed="false">
      <c r="A35" s="9" t="n">
        <f aca="false">IF(31&lt;=$C$3,31,"")</f>
        <v>31</v>
      </c>
      <c r="B35" s="10" t="n">
        <f aca="false">IF($A35="","",INDEX(Scoring!$Z$5:$Z$172,MATCH(31,Scoring!$AH$5:$AH$172,0)))</f>
        <v>31</v>
      </c>
      <c r="C35" s="11" t="str">
        <f aca="false">IF($A35="","",IF(INDEX(Scoring!$AF$5:$AF$172,MATCH(31,Scoring!$AH$5:$AH$172,0))="Yes",IF(INDEX(Scoring!$Z$5:$Z$172,MATCH(31,Scoring!$AH$5:$AH$172,0))&lt;=Weights!$C$19,"Top 30 + added","Added to queue"),"Top 30 by score"))</f>
        <v>Added to queue</v>
      </c>
      <c r="D35" s="10" t="str">
        <f aca="false">IF($A35="","",INDEX(Scoring!$A$5:$A$172,MATCH(31,Scoring!$AH$5:$AH$172,0)))</f>
        <v>majid-almadani</v>
      </c>
      <c r="E35" s="12" t="str">
        <f aca="false">IF($A35="","",INDEX(Scoring!$B$5:$B$172,MATCH(31,Scoring!$AH$5:$AH$172,0)))</f>
        <v>ماجد المدني</v>
      </c>
      <c r="F35" s="13" t="str">
        <f aca="false">IF($A35="","",INDEX(Scoring!$C$5:$C$172,MATCH(31,Scoring!$AH$5:$AH$172,0)))</f>
        <v>Majid Almadani</v>
      </c>
      <c r="G35" s="13" t="str">
        <f aca="false">IF($A35="","",INDEX(Scoring!$D$5:$D$172,MATCH(31,Scoring!$AH$5:$AH$172,0)))</f>
        <v>البنك السعودي للاستثمار (SAIB)</v>
      </c>
      <c r="H35" s="10" t="str">
        <f aca="false">IF($A35="","",INDEX(Scoring!$F$5:$F$172,MATCH(31,Scoring!$AH$5:$AH$172,0)))</f>
        <v>Data Science &amp; AI (T5)</v>
      </c>
      <c r="I35" s="10" t="n">
        <f aca="false">IF($A35="","",INDEX(Scoring!$G$5:$G$172,MATCH(31,Scoring!$AH$5:$AH$172,0)))</f>
        <v>2024</v>
      </c>
      <c r="J35" s="10" t="n">
        <f aca="false">IF($A35="","",INDEX(Scoring!$H$5:$H$172,MATCH(31,Scoring!$AH$5:$AH$172,0)))</f>
        <v>12</v>
      </c>
      <c r="K35" s="14" t="n">
        <f aca="false">IF($A35="","",INDEX(Scoring!$W$5:$W$172,MATCH(31,Scoring!$AH$5:$AH$172,0)))</f>
        <v>67.4</v>
      </c>
      <c r="L35" s="11" t="str">
        <f aca="false">IF($A35="","",INDEX(Scoring!$AA$5:$AA$172,MATCH(31,Scoring!$AH$5:$AH$172,0)))</f>
        <v>Tier 2 – Priority</v>
      </c>
      <c r="M35" s="13" t="str">
        <f aca="false">IF($A35="","",INDEX(Scoring!$AB$5:$AB$172,MATCH(31,Scoring!$AH$5:$AH$172,0)))</f>
        <v>Strengths: Employment after training 5/5, Employer / company profile 4/5, Specialization 5/5. Data Science &amp; AI (T5) track, cohort 2024; 12 months to outcome. Weak on: Time since training, Career transition.</v>
      </c>
      <c r="N35" s="13" t="str">
        <f aca="false">IF($A35="","",INDEX(Scoring!$AD$5:$AD$172,MATCH(31,Scoring!$AH$5:$AH$172,0)))</f>
        <v>Clear draft quote with graduate; Add employer logo</v>
      </c>
      <c r="O35" s="10" t="str">
        <f aca="false">IF($A35="","",INDEX(Scoring!$AE$5:$AE$172,MATCH(31,Scoring!$AH$5:$AH$172,0)))</f>
        <v>Draft</v>
      </c>
    </row>
    <row r="36" customFormat="false" ht="57.75" hidden="false" customHeight="true" outlineLevel="0" collapsed="false">
      <c r="A36" s="9" t="n">
        <f aca="false">IF(32&lt;=$C$3,32,"")</f>
        <v>32</v>
      </c>
      <c r="B36" s="10" t="n">
        <f aca="false">IF($A36="","",INDEX(Scoring!$Z$5:$Z$172,MATCH(32,Scoring!$AH$5:$AH$172,0)))</f>
        <v>32</v>
      </c>
      <c r="C36" s="11" t="str">
        <f aca="false">IF($A36="","",IF(INDEX(Scoring!$AF$5:$AF$172,MATCH(32,Scoring!$AH$5:$AH$172,0))="Yes",IF(INDEX(Scoring!$Z$5:$Z$172,MATCH(32,Scoring!$AH$5:$AH$172,0))&lt;=Weights!$C$19,"Top 30 + added","Added to queue"),"Top 30 by score"))</f>
        <v>Added to queue</v>
      </c>
      <c r="D36" s="10" t="str">
        <f aca="false">IF($A36="","",INDEX(Scoring!$A$5:$A$172,MATCH(32,Scoring!$AH$5:$AH$172,0)))</f>
        <v>mazen-alkhodairi</v>
      </c>
      <c r="E36" s="12" t="str">
        <f aca="false">IF($A36="","",INDEX(Scoring!$B$5:$B$172,MATCH(32,Scoring!$AH$5:$AH$172,0)))</f>
        <v>مازن الخضيري</v>
      </c>
      <c r="F36" s="13" t="str">
        <f aca="false">IF($A36="","",INDEX(Scoring!$C$5:$C$172,MATCH(32,Scoring!$AH$5:$AH$172,0)))</f>
        <v>Mazen Alkhodairi</v>
      </c>
      <c r="G36" s="13" t="str">
        <f aca="false">IF($A36="","",INDEX(Scoring!$D$5:$D$172,MATCH(32,Scoring!$AH$5:$AH$172,0)))</f>
        <v>شركة الإلكترونيات المتقدمة (SAMI Advanced Electronics)</v>
      </c>
      <c r="H36" s="10" t="str">
        <f aca="false">IF($A36="","",INDEX(Scoring!$F$5:$F$172,MATCH(32,Scoring!$AH$5:$AH$172,0)))</f>
        <v>Advanced AI Pathways</v>
      </c>
      <c r="I36" s="10" t="n">
        <f aca="false">IF($A36="","",INDEX(Scoring!$G$5:$G$172,MATCH(32,Scoring!$AH$5:$AH$172,0)))</f>
        <v>2025</v>
      </c>
      <c r="J36" s="10" t="n">
        <f aca="false">IF($A36="","",INDEX(Scoring!$H$5:$H$172,MATCH(32,Scoring!$AH$5:$AH$172,0)))</f>
        <v>9</v>
      </c>
      <c r="K36" s="14" t="n">
        <f aca="false">IF($A36="","",INDEX(Scoring!$W$5:$W$172,MATCH(32,Scoring!$AH$5:$AH$172,0)))</f>
        <v>67.3</v>
      </c>
      <c r="L36" s="11" t="str">
        <f aca="false">IF($A36="","",INDEX(Scoring!$AA$5:$AA$172,MATCH(32,Scoring!$AH$5:$AH$172,0)))</f>
        <v>Tier 2 – Priority</v>
      </c>
      <c r="M36" s="13" t="str">
        <f aca="false">IF($A36="","",INDEX(Scoring!$AB$5:$AB$172,MATCH(32,Scoring!$AH$5:$AH$172,0)))</f>
        <v>Strengths: Employment after training 5/5, Employer / company profile 4/5, Story completeness 5/5. Advanced AI Pathways track, cohort 2025; 9 months to outcome. Weak on: Promotion.</v>
      </c>
      <c r="N36" s="13" t="str">
        <f aca="false">IF($A36="","",INDEX(Scoring!$AD$5:$AD$172,MATCH(32,Scoring!$AH$5:$AH$172,0)))</f>
        <v>Clear draft quote with graduate</v>
      </c>
      <c r="O36" s="10" t="str">
        <f aca="false">IF($A36="","",INDEX(Scoring!$AE$5:$AE$172,MATCH(32,Scoring!$AH$5:$AH$172,0)))</f>
        <v>Draft</v>
      </c>
    </row>
    <row r="37" customFormat="false" ht="57.75" hidden="false" customHeight="true" outlineLevel="0" collapsed="false">
      <c r="A37" s="9" t="n">
        <f aca="false">IF(33&lt;=$C$3,33,"")</f>
        <v>33</v>
      </c>
      <c r="B37" s="10" t="n">
        <f aca="false">IF($A37="","",INDEX(Scoring!$Z$5:$Z$172,MATCH(33,Scoring!$AH$5:$AH$172,0)))</f>
        <v>39</v>
      </c>
      <c r="C37" s="11" t="str">
        <f aca="false">IF($A37="","",IF(INDEX(Scoring!$AF$5:$AF$172,MATCH(33,Scoring!$AH$5:$AH$172,0))="Yes",IF(INDEX(Scoring!$Z$5:$Z$172,MATCH(33,Scoring!$AH$5:$AH$172,0))&lt;=Weights!$C$19,"Top 30 + added","Added to queue"),"Top 30 by score"))</f>
        <v>Added to queue</v>
      </c>
      <c r="D37" s="10" t="str">
        <f aca="false">IF($A37="","",INDEX(Scoring!$A$5:$A$172,MATCH(33,Scoring!$AH$5:$AH$172,0)))</f>
        <v>abdullah-almazrua</v>
      </c>
      <c r="E37" s="12" t="str">
        <f aca="false">IF($A37="","",INDEX(Scoring!$B$5:$B$172,MATCH(33,Scoring!$AH$5:$AH$172,0)))</f>
        <v>عبدالله المزروع</v>
      </c>
      <c r="F37" s="13" t="str">
        <f aca="false">IF($A37="","",INDEX(Scoring!$C$5:$C$172,MATCH(33,Scoring!$AH$5:$AH$172,0)))</f>
        <v>Abdullah Almazrua</v>
      </c>
      <c r="G37" s="13" t="str">
        <f aca="false">IF($A37="","",INDEX(Scoring!$D$5:$D$172,MATCH(33,Scoring!$AH$5:$AH$172,0)))</f>
        <v>مصرف الراجحي</v>
      </c>
      <c r="H37" s="10" t="str">
        <f aca="false">IF($A37="","",INDEX(Scoring!$F$5:$F$172,MATCH(33,Scoring!$AH$5:$AH$172,0)))</f>
        <v>Data Science &amp; AI (T5)</v>
      </c>
      <c r="I37" s="10" t="n">
        <f aca="false">IF($A37="","",INDEX(Scoring!$G$5:$G$172,MATCH(33,Scoring!$AH$5:$AH$172,0)))</f>
        <v>2024</v>
      </c>
      <c r="J37" s="10" t="n">
        <f aca="false">IF($A37="","",INDEX(Scoring!$H$5:$H$172,MATCH(33,Scoring!$AH$5:$AH$172,0)))</f>
        <v>8</v>
      </c>
      <c r="K37" s="14" t="n">
        <f aca="false">IF($A37="","",INDEX(Scoring!$W$5:$W$172,MATCH(33,Scoring!$AH$5:$AH$172,0)))</f>
        <v>65.7</v>
      </c>
      <c r="L37" s="11" t="str">
        <f aca="false">IF($A37="","",INDEX(Scoring!$AA$5:$AA$172,MATCH(33,Scoring!$AH$5:$AH$172,0)))</f>
        <v>Tier 2 – Priority</v>
      </c>
      <c r="M37" s="13" t="str">
        <f aca="false">IF($A37="","",INDEX(Scoring!$AB$5:$AB$172,MATCH(33,Scoring!$AH$5:$AH$172,0)))</f>
        <v>Strengths: Employer / company profile 5/5, Employment after training 5/5, Specialization 4/5. Data Science &amp; AI (T5) track, cohort 2024; 8 months to outcome. Weak on: Career transition.</v>
      </c>
      <c r="N37" s="13" t="str">
        <f aca="false">IF($A37="","",INDEX(Scoring!$AD$5:$AD$172,MATCH(33,Scoring!$AH$5:$AH$172,0)))</f>
        <v>Clear draft quote with graduate</v>
      </c>
      <c r="O37" s="10" t="str">
        <f aca="false">IF($A37="","",INDEX(Scoring!$AE$5:$AE$172,MATCH(33,Scoring!$AH$5:$AH$172,0)))</f>
        <v>Draft</v>
      </c>
    </row>
    <row r="38" customFormat="false" ht="57.75" hidden="false" customHeight="true" outlineLevel="0" collapsed="false">
      <c r="A38" s="9" t="n">
        <f aca="false">IF(34&lt;=$C$3,34,"")</f>
        <v>34</v>
      </c>
      <c r="B38" s="10" t="n">
        <f aca="false">IF($A38="","",INDEX(Scoring!$Z$5:$Z$172,MATCH(34,Scoring!$AH$5:$AH$172,0)))</f>
        <v>40</v>
      </c>
      <c r="C38" s="11" t="str">
        <f aca="false">IF($A38="","",IF(INDEX(Scoring!$AF$5:$AF$172,MATCH(34,Scoring!$AH$5:$AH$172,0))="Yes",IF(INDEX(Scoring!$Z$5:$Z$172,MATCH(34,Scoring!$AH$5:$AH$172,0))&lt;=Weights!$C$19,"Top 30 + added","Added to queue"),"Top 30 by score"))</f>
        <v>Added to queue</v>
      </c>
      <c r="D38" s="10" t="str">
        <f aca="false">IF($A38="","",INDEX(Scoring!$A$5:$A$172,MATCH(34,Scoring!$AH$5:$AH$172,0)))</f>
        <v>hassan-abid</v>
      </c>
      <c r="E38" s="12" t="str">
        <f aca="false">IF($A38="","",INDEX(Scoring!$B$5:$B$172,MATCH(34,Scoring!$AH$5:$AH$172,0)))</f>
        <v>حسن عبدالباسط عابد</v>
      </c>
      <c r="F38" s="13" t="str">
        <f aca="false">IF($A38="","",INDEX(Scoring!$C$5:$C$172,MATCH(34,Scoring!$AH$5:$AH$172,0)))</f>
        <v>Hassan Abdulbasit Abid</v>
      </c>
      <c r="G38" s="13" t="str">
        <f aca="false">IF($A38="","",INDEX(Scoring!$D$5:$D$172,MATCH(34,Scoring!$AH$5:$AH$172,0)))</f>
        <v>Devoteam</v>
      </c>
      <c r="H38" s="10" t="str">
        <f aca="false">IF($A38="","",INDEX(Scoring!$F$5:$F$172,MATCH(34,Scoring!$AH$5:$AH$172,0)))</f>
        <v>LLM</v>
      </c>
      <c r="I38" s="10" t="n">
        <f aca="false">IF($A38="","",INDEX(Scoring!$G$5:$G$172,MATCH(34,Scoring!$AH$5:$AH$172,0)))</f>
        <v>2024</v>
      </c>
      <c r="J38" s="10" t="n">
        <f aca="false">IF($A38="","",INDEX(Scoring!$H$5:$H$172,MATCH(34,Scoring!$AH$5:$AH$172,0)))</f>
        <v>1</v>
      </c>
      <c r="K38" s="14" t="n">
        <f aca="false">IF($A38="","",INDEX(Scoring!$W$5:$W$172,MATCH(34,Scoring!$AH$5:$AH$172,0)))</f>
        <v>65.6</v>
      </c>
      <c r="L38" s="11" t="str">
        <f aca="false">IF($A38="","",INDEX(Scoring!$AA$5:$AA$172,MATCH(34,Scoring!$AH$5:$AH$172,0)))</f>
        <v>Tier 2 – Priority</v>
      </c>
      <c r="M38" s="13" t="str">
        <f aca="false">IF($A38="","",INDEX(Scoring!$AB$5:$AB$172,MATCH(34,Scoring!$AH$5:$AH$172,0)))</f>
        <v>Strengths: Employment after training 5/5, Employer / company profile 4/5, Time since training 5/5. LLM track, cohort 2024; 1 month to outcome. Weak on: Promotion, Career transition.</v>
      </c>
      <c r="N38" s="13" t="str">
        <f aca="false">IF($A38="","",INDEX(Scoring!$AD$5:$AD$172,MATCH(34,Scoring!$AH$5:$AH$172,0)))</f>
        <v>Clear draft quote with graduate</v>
      </c>
      <c r="O38" s="10" t="str">
        <f aca="false">IF($A38="","",INDEX(Scoring!$AE$5:$AE$172,MATCH(34,Scoring!$AH$5:$AH$172,0)))</f>
        <v>Draft</v>
      </c>
    </row>
    <row r="39" customFormat="false" ht="57.75" hidden="false" customHeight="true" outlineLevel="0" collapsed="false">
      <c r="A39" s="9" t="n">
        <f aca="false">IF(35&lt;=$C$3,35,"")</f>
        <v>35</v>
      </c>
      <c r="B39" s="10" t="n">
        <f aca="false">IF($A39="","",INDEX(Scoring!$Z$5:$Z$172,MATCH(35,Scoring!$AH$5:$AH$172,0)))</f>
        <v>43</v>
      </c>
      <c r="C39" s="11" t="str">
        <f aca="false">IF($A39="","",IF(INDEX(Scoring!$AF$5:$AF$172,MATCH(35,Scoring!$AH$5:$AH$172,0))="Yes",IF(INDEX(Scoring!$Z$5:$Z$172,MATCH(35,Scoring!$AH$5:$AH$172,0))&lt;=Weights!$C$19,"Top 30 + added","Added to queue"),"Top 30 by score"))</f>
        <v>Added to queue</v>
      </c>
      <c r="D39" s="10" t="str">
        <f aca="false">IF($A39="","",INDEX(Scoring!$A$5:$A$172,MATCH(35,Scoring!$AH$5:$AH$172,0)))</f>
        <v>abdulaziz-alenazi</v>
      </c>
      <c r="E39" s="12" t="str">
        <f aca="false">IF($A39="","",INDEX(Scoring!$B$5:$B$172,MATCH(35,Scoring!$AH$5:$AH$172,0)))</f>
        <v>عبدالعزيز العنزي</v>
      </c>
      <c r="F39" s="13" t="str">
        <f aca="false">IF($A39="","",INDEX(Scoring!$C$5:$C$172,MATCH(35,Scoring!$AH$5:$AH$172,0)))</f>
        <v>Abdulaziz Alenazi</v>
      </c>
      <c r="G39" s="13" t="str">
        <f aca="false">IF($A39="","",INDEX(Scoring!$D$5:$D$172,MATCH(35,Scoring!$AH$5:$AH$172,0)))</f>
        <v>لوسيديا (Lucidya)</v>
      </c>
      <c r="H39" s="10" t="str">
        <f aca="false">IF($A39="","",INDEX(Scoring!$F$5:$F$172,MATCH(35,Scoring!$AH$5:$AH$172,0)))</f>
        <v>LLM</v>
      </c>
      <c r="I39" s="10" t="n">
        <f aca="false">IF($A39="","",INDEX(Scoring!$G$5:$G$172,MATCH(35,Scoring!$AH$5:$AH$172,0)))</f>
        <v>2024</v>
      </c>
      <c r="J39" s="10" t="n">
        <f aca="false">IF($A39="","",INDEX(Scoring!$H$5:$H$172,MATCH(35,Scoring!$AH$5:$AH$172,0)))</f>
        <v>3</v>
      </c>
      <c r="K39" s="14" t="n">
        <f aca="false">IF($A39="","",INDEX(Scoring!$W$5:$W$172,MATCH(35,Scoring!$AH$5:$AH$172,0)))</f>
        <v>65.1</v>
      </c>
      <c r="L39" s="11" t="str">
        <f aca="false">IF($A39="","",INDEX(Scoring!$AA$5:$AA$172,MATCH(35,Scoring!$AH$5:$AH$172,0)))</f>
        <v>Tier 2 – Priority</v>
      </c>
      <c r="M39" s="13" t="str">
        <f aca="false">IF($A39="","",INDEX(Scoring!$AB$5:$AB$172,MATCH(35,Scoring!$AH$5:$AH$172,0)))</f>
        <v>Strengths: Employment after training 5/5, Employer / company profile 4/5, Specialization 5/5. LLM track, cohort 2024; 3 months to outcome. Weak on: Promotion, Career transition.</v>
      </c>
      <c r="N39" s="13" t="str">
        <f aca="false">IF($A39="","",INDEX(Scoring!$AD$5:$AD$172,MATCH(35,Scoring!$AH$5:$AH$172,0)))</f>
        <v>Clear draft quote with graduate</v>
      </c>
      <c r="O39" s="10" t="str">
        <f aca="false">IF($A39="","",INDEX(Scoring!$AE$5:$AE$172,MATCH(35,Scoring!$AH$5:$AH$172,0)))</f>
        <v>Draft</v>
      </c>
    </row>
    <row r="40" customFormat="false" ht="57.75" hidden="false" customHeight="true" outlineLevel="0" collapsed="false">
      <c r="A40" s="9" t="n">
        <f aca="false">IF(36&lt;=$C$3,36,"")</f>
        <v>36</v>
      </c>
      <c r="B40" s="10" t="n">
        <f aca="false">IF($A40="","",INDEX(Scoring!$Z$5:$Z$172,MATCH(36,Scoring!$AH$5:$AH$172,0)))</f>
        <v>45</v>
      </c>
      <c r="C40" s="11" t="str">
        <f aca="false">IF($A40="","",IF(INDEX(Scoring!$AF$5:$AF$172,MATCH(36,Scoring!$AH$5:$AH$172,0))="Yes",IF(INDEX(Scoring!$Z$5:$Z$172,MATCH(36,Scoring!$AH$5:$AH$172,0))&lt;=Weights!$C$19,"Top 30 + added","Added to queue"),"Top 30 by score"))</f>
        <v>Added to queue</v>
      </c>
      <c r="D40" s="10" t="str">
        <f aca="false">IF($A40="","",INDEX(Scoring!$A$5:$A$172,MATCH(36,Scoring!$AH$5:$AH$172,0)))</f>
        <v>saleh-altuwaijri</v>
      </c>
      <c r="E40" s="12" t="str">
        <f aca="false">IF($A40="","",INDEX(Scoring!$B$5:$B$172,MATCH(36,Scoring!$AH$5:$AH$172,0)))</f>
        <v>صالح التويجري</v>
      </c>
      <c r="F40" s="13" t="str">
        <f aca="false">IF($A40="","",INDEX(Scoring!$C$5:$C$172,MATCH(36,Scoring!$AH$5:$AH$172,0)))</f>
        <v>Saleh Altuwaijri</v>
      </c>
      <c r="G40" s="13" t="str">
        <f aca="false">IF($A40="","",INDEX(Scoring!$D$5:$D$172,MATCH(36,Scoring!$AH$5:$AH$172,0)))</f>
        <v>المركز الوطني لنظم الموارد الحكومية (NCGR)</v>
      </c>
      <c r="H40" s="10" t="str">
        <f aca="false">IF($A40="","",INDEX(Scoring!$F$5:$F$172,MATCH(36,Scoring!$AH$5:$AH$172,0)))</f>
        <v>Data Science &amp; AI (T5)</v>
      </c>
      <c r="I40" s="10" t="n">
        <f aca="false">IF($A40="","",INDEX(Scoring!$G$5:$G$172,MATCH(36,Scoring!$AH$5:$AH$172,0)))</f>
        <v>2024</v>
      </c>
      <c r="J40" s="10" t="n">
        <f aca="false">IF($A40="","",INDEX(Scoring!$H$5:$H$172,MATCH(36,Scoring!$AH$5:$AH$172,0)))</f>
        <v>10</v>
      </c>
      <c r="K40" s="14" t="n">
        <f aca="false">IF($A40="","",INDEX(Scoring!$W$5:$W$172,MATCH(36,Scoring!$AH$5:$AH$172,0)))</f>
        <v>64.9</v>
      </c>
      <c r="L40" s="11" t="str">
        <f aca="false">IF($A40="","",INDEX(Scoring!$AA$5:$AA$172,MATCH(36,Scoring!$AH$5:$AH$172,0)))</f>
        <v>Tier 2 – Priority</v>
      </c>
      <c r="M40" s="13" t="str">
        <f aca="false">IF($A40="","",INDEX(Scoring!$AB$5:$AB$172,MATCH(36,Scoring!$AH$5:$AH$172,0)))</f>
        <v>Strengths: Employment after training 5/5, Employer / company profile 4/5, Specialization 5/5. Data Science &amp; AI (T5) track, cohort 2024; 10 months to outcome. Weak on: Promotion.</v>
      </c>
      <c r="N40" s="13" t="str">
        <f aca="false">IF($A40="","",INDEX(Scoring!$AD$5:$AD$172,MATCH(36,Scoring!$AH$5:$AH$172,0)))</f>
        <v>Clear draft quote with graduate</v>
      </c>
      <c r="O40" s="10" t="str">
        <f aca="false">IF($A40="","",INDEX(Scoring!$AE$5:$AE$172,MATCH(36,Scoring!$AH$5:$AH$172,0)))</f>
        <v>Draft</v>
      </c>
    </row>
    <row r="41" customFormat="false" ht="57.75" hidden="false" customHeight="true" outlineLevel="0" collapsed="false">
      <c r="A41" s="9" t="n">
        <f aca="false">IF(37&lt;=$C$3,37,"")</f>
        <v>37</v>
      </c>
      <c r="B41" s="10" t="n">
        <f aca="false">IF($A41="","",INDEX(Scoring!$Z$5:$Z$172,MATCH(37,Scoring!$AH$5:$AH$172,0)))</f>
        <v>47</v>
      </c>
      <c r="C41" s="11" t="str">
        <f aca="false">IF($A41="","",IF(INDEX(Scoring!$AF$5:$AF$172,MATCH(37,Scoring!$AH$5:$AH$172,0))="Yes",IF(INDEX(Scoring!$Z$5:$Z$172,MATCH(37,Scoring!$AH$5:$AH$172,0))&lt;=Weights!$C$19,"Top 30 + added","Added to queue"),"Top 30 by score"))</f>
        <v>Added to queue</v>
      </c>
      <c r="D41" s="10" t="str">
        <f aca="false">IF($A41="","",INDEX(Scoring!$A$5:$A$172,MATCH(37,Scoring!$AH$5:$AH$172,0)))</f>
        <v>safiyah-alshammari</v>
      </c>
      <c r="E41" s="12" t="str">
        <f aca="false">IF($A41="","",INDEX(Scoring!$B$5:$B$172,MATCH(37,Scoring!$AH$5:$AH$172,0)))</f>
        <v>صفية الشمري</v>
      </c>
      <c r="F41" s="13" t="str">
        <f aca="false">IF($A41="","",INDEX(Scoring!$C$5:$C$172,MATCH(37,Scoring!$AH$5:$AH$172,0)))</f>
        <v>Safiyah Alshammari</v>
      </c>
      <c r="G41" s="13" t="str">
        <f aca="false">IF($A41="","",INDEX(Scoring!$D$5:$D$172,MATCH(37,Scoring!$AH$5:$AH$172,0)))</f>
        <v>أرامكو السعودية</v>
      </c>
      <c r="H41" s="10" t="str">
        <f aca="false">IF($A41="","",INDEX(Scoring!$F$5:$F$172,MATCH(37,Scoring!$AH$5:$AH$172,0)))</f>
        <v>Data Science &amp; AI (T5)</v>
      </c>
      <c r="I41" s="10" t="n">
        <f aca="false">IF($A41="","",INDEX(Scoring!$G$5:$G$172,MATCH(37,Scoring!$AH$5:$AH$172,0)))</f>
        <v>2023</v>
      </c>
      <c r="J41" s="10" t="n">
        <f aca="false">IF($A41="","",INDEX(Scoring!$H$5:$H$172,MATCH(37,Scoring!$AH$5:$AH$172,0)))</f>
        <v>7</v>
      </c>
      <c r="K41" s="14" t="n">
        <f aca="false">IF($A41="","",INDEX(Scoring!$W$5:$W$172,MATCH(37,Scoring!$AH$5:$AH$172,0)))</f>
        <v>64.7</v>
      </c>
      <c r="L41" s="11" t="str">
        <f aca="false">IF($A41="","",INDEX(Scoring!$AA$5:$AA$172,MATCH(37,Scoring!$AH$5:$AH$172,0)))</f>
        <v>Tier 2 – Priority</v>
      </c>
      <c r="M41" s="13" t="str">
        <f aca="false">IF($A41="","",INDEX(Scoring!$AB$5:$AB$172,MATCH(37,Scoring!$AH$5:$AH$172,0)))</f>
        <v>Strengths: Employer / company profile 5/5, Employment after training 5/5, Story completeness 4.6/5. Data Science &amp; AI (T5) track, cohort 2023; 7 months to outcome. Weak on: Promotion, Career transition.</v>
      </c>
      <c r="N41" s="13" t="str">
        <f aca="false">IF($A41="","",INDEX(Scoring!$AD$5:$AD$172,MATCH(37,Scoring!$AH$5:$AH$172,0)))</f>
        <v>Clear draft quote with graduate</v>
      </c>
      <c r="O41" s="10" t="str">
        <f aca="false">IF($A41="","",INDEX(Scoring!$AE$5:$AE$172,MATCH(37,Scoring!$AH$5:$AH$172,0)))</f>
        <v>Draft</v>
      </c>
    </row>
    <row r="42" customFormat="false" ht="57.75" hidden="false" customHeight="true" outlineLevel="0" collapsed="false">
      <c r="A42" s="9" t="n">
        <f aca="false">IF(38&lt;=$C$3,38,"")</f>
        <v>38</v>
      </c>
      <c r="B42" s="10" t="n">
        <f aca="false">IF($A42="","",INDEX(Scoring!$Z$5:$Z$172,MATCH(38,Scoring!$AH$5:$AH$172,0)))</f>
        <v>48</v>
      </c>
      <c r="C42" s="11" t="str">
        <f aca="false">IF($A42="","",IF(INDEX(Scoring!$AF$5:$AF$172,MATCH(38,Scoring!$AH$5:$AH$172,0))="Yes",IF(INDEX(Scoring!$Z$5:$Z$172,MATCH(38,Scoring!$AH$5:$AH$172,0))&lt;=Weights!$C$19,"Top 30 + added","Added to queue"),"Top 30 by score"))</f>
        <v>Added to queue</v>
      </c>
      <c r="D42" s="10" t="str">
        <f aca="false">IF($A42="","",INDEX(Scoring!$A$5:$A$172,MATCH(38,Scoring!$AH$5:$AH$172,0)))</f>
        <v>hamad-almuhaythif</v>
      </c>
      <c r="E42" s="12" t="str">
        <f aca="false">IF($A42="","",INDEX(Scoring!$B$5:$B$172,MATCH(38,Scoring!$AH$5:$AH$172,0)))</f>
        <v>حمد المحيذف</v>
      </c>
      <c r="F42" s="13" t="str">
        <f aca="false">IF($A42="","",INDEX(Scoring!$C$5:$C$172,MATCH(38,Scoring!$AH$5:$AH$172,0)))</f>
        <v>Hamad Almuhaythif</v>
      </c>
      <c r="G42" s="13" t="str">
        <f aca="false">IF($A42="","",INDEX(Scoring!$D$5:$D$172,MATCH(38,Scoring!$AH$5:$AH$172,0)))</f>
        <v>الشركة السعودية لشراكات المياه SWPC</v>
      </c>
      <c r="H42" s="10" t="str">
        <f aca="false">IF($A42="","",INDEX(Scoring!$F$5:$F$172,MATCH(38,Scoring!$AH$5:$AH$172,0)))</f>
        <v>Data Engineering</v>
      </c>
      <c r="I42" s="10" t="n">
        <f aca="false">IF($A42="","",INDEX(Scoring!$G$5:$G$172,MATCH(38,Scoring!$AH$5:$AH$172,0)))</f>
        <v>2025</v>
      </c>
      <c r="J42" s="10" t="str">
        <f aca="false">IF($A42="","",INDEX(Scoring!$H$5:$H$172,MATCH(38,Scoring!$AH$5:$AH$172,0)))</f>
        <v>n/a</v>
      </c>
      <c r="K42" s="14" t="n">
        <f aca="false">IF($A42="","",INDEX(Scoring!$W$5:$W$172,MATCH(38,Scoring!$AH$5:$AH$172,0)))</f>
        <v>64.6</v>
      </c>
      <c r="L42" s="11" t="str">
        <f aca="false">IF($A42="","",INDEX(Scoring!$AA$5:$AA$172,MATCH(38,Scoring!$AH$5:$AH$172,0)))</f>
        <v>Tier 2 – Priority</v>
      </c>
      <c r="M42" s="13" t="str">
        <f aca="false">IF($A42="","",INDEX(Scoring!$AB$5:$AB$172,MATCH(38,Scoring!$AH$5:$AH$172,0)))</f>
        <v>Strengths: Employment after training 5/5, Employer / company profile 4/5, Specialization 5/5. Data Engineering track, cohort 2025; timing dated by year only. Weak on: Promotion, Career transition.</v>
      </c>
      <c r="N42" s="13" t="str">
        <f aca="false">IF($A42="","",INDEX(Scoring!$AD$5:$AD$172,MATCH(38,Scoring!$AH$5:$AH$172,0)))</f>
        <v>Confirm month-level date</v>
      </c>
      <c r="O42" s="10" t="str">
        <f aca="false">IF($A42="","",INDEX(Scoring!$AE$5:$AE$172,MATCH(38,Scoring!$AH$5:$AH$172,0)))</f>
        <v>Verified</v>
      </c>
    </row>
    <row r="43" customFormat="false" ht="57.75" hidden="false" customHeight="true" outlineLevel="0" collapsed="false">
      <c r="A43" s="9" t="n">
        <f aca="false">IF(39&lt;=$C$3,39,"")</f>
        <v>39</v>
      </c>
      <c r="B43" s="10" t="n">
        <f aca="false">IF($A43="","",INDEX(Scoring!$Z$5:$Z$172,MATCH(39,Scoring!$AH$5:$AH$172,0)))</f>
        <v>49</v>
      </c>
      <c r="C43" s="11" t="str">
        <f aca="false">IF($A43="","",IF(INDEX(Scoring!$AF$5:$AF$172,MATCH(39,Scoring!$AH$5:$AH$172,0))="Yes",IF(INDEX(Scoring!$Z$5:$Z$172,MATCH(39,Scoring!$AH$5:$AH$172,0))&lt;=Weights!$C$19,"Top 30 + added","Added to queue"),"Top 30 by score"))</f>
        <v>Added to queue</v>
      </c>
      <c r="D43" s="10" t="str">
        <f aca="false">IF($A43="","",INDEX(Scoring!$A$5:$A$172,MATCH(39,Scoring!$AH$5:$AH$172,0)))</f>
        <v>talal-alharthi</v>
      </c>
      <c r="E43" s="12" t="str">
        <f aca="false">IF($A43="","",INDEX(Scoring!$B$5:$B$172,MATCH(39,Scoring!$AH$5:$AH$172,0)))</f>
        <v>طلال الحارثي</v>
      </c>
      <c r="F43" s="13" t="str">
        <f aca="false">IF($A43="","",INDEX(Scoring!$C$5:$C$172,MATCH(39,Scoring!$AH$5:$AH$172,0)))</f>
        <v>Talal Alharthi</v>
      </c>
      <c r="G43" s="13" t="str">
        <f aca="false">IF($A43="","",INDEX(Scoring!$D$5:$D$172,MATCH(39,Scoring!$AH$5:$AH$172,0)))</f>
        <v>شمال (SHAMAL)</v>
      </c>
      <c r="H43" s="10" t="str">
        <f aca="false">IF($A43="","",INDEX(Scoring!$F$5:$F$172,MATCH(39,Scoring!$AH$5:$AH$172,0)))</f>
        <v>Cloud</v>
      </c>
      <c r="I43" s="10" t="n">
        <f aca="false">IF($A43="","",INDEX(Scoring!$G$5:$G$172,MATCH(39,Scoring!$AH$5:$AH$172,0)))</f>
        <v>2025</v>
      </c>
      <c r="J43" s="10" t="n">
        <f aca="false">IF($A43="","",INDEX(Scoring!$H$5:$H$172,MATCH(39,Scoring!$AH$5:$AH$172,0)))</f>
        <v>5</v>
      </c>
      <c r="K43" s="14" t="n">
        <f aca="false">IF($A43="","",INDEX(Scoring!$W$5:$W$172,MATCH(39,Scoring!$AH$5:$AH$172,0)))</f>
        <v>64.6</v>
      </c>
      <c r="L43" s="11" t="str">
        <f aca="false">IF($A43="","",INDEX(Scoring!$AA$5:$AA$172,MATCH(39,Scoring!$AH$5:$AH$172,0)))</f>
        <v>Tier 2 – Priority</v>
      </c>
      <c r="M43" s="13" t="str">
        <f aca="false">IF($A43="","",INDEX(Scoring!$AB$5:$AB$172,MATCH(39,Scoring!$AH$5:$AH$172,0)))</f>
        <v>Strengths: Employment after training 5/5, Employer / company profile 4/5, Story completeness 5/5. Cloud track, cohort 2025; 5 months to outcome. Weak on: Promotion, Career transition.</v>
      </c>
      <c r="N43" s="13" t="str">
        <f aca="false">IF($A43="","",INDEX(Scoring!$AD$5:$AD$172,MATCH(39,Scoring!$AH$5:$AH$172,0)))</f>
        <v>Clear draft quote with graduate</v>
      </c>
      <c r="O43" s="10" t="str">
        <f aca="false">IF($A43="","",INDEX(Scoring!$AE$5:$AE$172,MATCH(39,Scoring!$AH$5:$AH$172,0)))</f>
        <v>Draft</v>
      </c>
    </row>
    <row r="44" customFormat="false" ht="57.75" hidden="false" customHeight="true" outlineLevel="0" collapsed="false">
      <c r="A44" s="9" t="n">
        <f aca="false">IF(40&lt;=$C$3,40,"")</f>
        <v>40</v>
      </c>
      <c r="B44" s="10" t="n">
        <f aca="false">IF($A44="","",INDEX(Scoring!$Z$5:$Z$172,MATCH(40,Scoring!$AH$5:$AH$172,0)))</f>
        <v>54</v>
      </c>
      <c r="C44" s="11" t="str">
        <f aca="false">IF($A44="","",IF(INDEX(Scoring!$AF$5:$AF$172,MATCH(40,Scoring!$AH$5:$AH$172,0))="Yes",IF(INDEX(Scoring!$Z$5:$Z$172,MATCH(40,Scoring!$AH$5:$AH$172,0))&lt;=Weights!$C$19,"Top 30 + added","Added to queue"),"Top 30 by score"))</f>
        <v>Added to queue</v>
      </c>
      <c r="D44" s="10" t="str">
        <f aca="false">IF($A44="","",INDEX(Scoring!$A$5:$A$172,MATCH(40,Scoring!$AH$5:$AH$172,0)))</f>
        <v>wejdan-mangl</v>
      </c>
      <c r="E44" s="12" t="str">
        <f aca="false">IF($A44="","",INDEX(Scoring!$B$5:$B$172,MATCH(40,Scoring!$AH$5:$AH$172,0)))</f>
        <v>وجدان منقل</v>
      </c>
      <c r="F44" s="13" t="str">
        <f aca="false">IF($A44="","",INDEX(Scoring!$C$5:$C$172,MATCH(40,Scoring!$AH$5:$AH$172,0)))</f>
        <v>Wejdan Mangl</v>
      </c>
      <c r="G44" s="13" t="str">
        <f aca="false">IF($A44="","",INDEX(Scoring!$D$5:$D$172,MATCH(40,Scoring!$AH$5:$AH$172,0)))</f>
        <v>شركة علم</v>
      </c>
      <c r="H44" s="10" t="str">
        <f aca="false">IF($A44="","",INDEX(Scoring!$F$5:$F$172,MATCH(40,Scoring!$AH$5:$AH$172,0)))</f>
        <v>AI Summer Champions</v>
      </c>
      <c r="I44" s="10" t="n">
        <f aca="false">IF($A44="","",INDEX(Scoring!$G$5:$G$172,MATCH(40,Scoring!$AH$5:$AH$172,0)))</f>
        <v>2022</v>
      </c>
      <c r="J44" s="10" t="n">
        <f aca="false">IF($A44="","",INDEX(Scoring!$H$5:$H$172,MATCH(40,Scoring!$AH$5:$AH$172,0)))</f>
        <v>13</v>
      </c>
      <c r="K44" s="14" t="n">
        <f aca="false">IF($A44="","",INDEX(Scoring!$W$5:$W$172,MATCH(40,Scoring!$AH$5:$AH$172,0)))</f>
        <v>63.5</v>
      </c>
      <c r="L44" s="11" t="str">
        <f aca="false">IF($A44="","",INDEX(Scoring!$AA$5:$AA$172,MATCH(40,Scoring!$AH$5:$AH$172,0)))</f>
        <v>Tier 2 – Priority</v>
      </c>
      <c r="M44" s="13" t="str">
        <f aca="false">IF($A44="","",INDEX(Scoring!$AB$5:$AB$172,MATCH(40,Scoring!$AH$5:$AH$172,0)))</f>
        <v>Strengths: Employer / company profile 5/5, Employment after training 5/5, Specialization 4/5. AI Summer Champions track, cohort 2022; 13 months to outcome. Weak on: Time since training, Career transition.</v>
      </c>
      <c r="N44" s="13" t="str">
        <f aca="false">IF($A44="","",INDEX(Scoring!$AD$5:$AD$172,MATCH(40,Scoring!$AH$5:$AH$172,0)))</f>
        <v>Clear draft quote with graduate</v>
      </c>
      <c r="O44" s="10" t="str">
        <f aca="false">IF($A44="","",INDEX(Scoring!$AE$5:$AE$172,MATCH(40,Scoring!$AH$5:$AH$172,0)))</f>
        <v>Draft</v>
      </c>
    </row>
    <row r="45" customFormat="false" ht="57.75" hidden="false" customHeight="true" outlineLevel="0" collapsed="false">
      <c r="A45" s="9" t="n">
        <f aca="false">IF(41&lt;=$C$3,41,"")</f>
        <v>41</v>
      </c>
      <c r="B45" s="10" t="n">
        <f aca="false">IF($A45="","",INDEX(Scoring!$Z$5:$Z$172,MATCH(41,Scoring!$AH$5:$AH$172,0)))</f>
        <v>60</v>
      </c>
      <c r="C45" s="11" t="str">
        <f aca="false">IF($A45="","",IF(INDEX(Scoring!$AF$5:$AF$172,MATCH(41,Scoring!$AH$5:$AH$172,0))="Yes",IF(INDEX(Scoring!$Z$5:$Z$172,MATCH(41,Scoring!$AH$5:$AH$172,0))&lt;=Weights!$C$19,"Top 30 + added","Added to queue"),"Top 30 by score"))</f>
        <v>Added to queue</v>
      </c>
      <c r="D45" s="10" t="str">
        <f aca="false">IF($A45="","",INDEX(Scoring!$A$5:$A$172,MATCH(41,Scoring!$AH$5:$AH$172,0)))</f>
        <v>mohammed-aldeaiji</v>
      </c>
      <c r="E45" s="12" t="str">
        <f aca="false">IF($A45="","",INDEX(Scoring!$B$5:$B$172,MATCH(41,Scoring!$AH$5:$AH$172,0)))</f>
        <v>محمد الدعيجي</v>
      </c>
      <c r="F45" s="13" t="str">
        <f aca="false">IF($A45="","",INDEX(Scoring!$C$5:$C$172,MATCH(41,Scoring!$AH$5:$AH$172,0)))</f>
        <v>Mohammed Aldeaiji</v>
      </c>
      <c r="G45" s="13" t="str">
        <f aca="false">IF($A45="","",INDEX(Scoring!$D$5:$D$172,MATCH(41,Scoring!$AH$5:$AH$172,0)))</f>
        <v>هدهد (HudHud Maps)</v>
      </c>
      <c r="H45" s="10" t="str">
        <f aca="false">IF($A45="","",INDEX(Scoring!$F$5:$F$172,MATCH(41,Scoring!$AH$5:$AH$172,0)))</f>
        <v>Data Science &amp; AI (T5)</v>
      </c>
      <c r="I45" s="10" t="n">
        <f aca="false">IF($A45="","",INDEX(Scoring!$G$5:$G$172,MATCH(41,Scoring!$AH$5:$AH$172,0)))</f>
        <v>2024</v>
      </c>
      <c r="J45" s="10" t="n">
        <f aca="false">IF($A45="","",INDEX(Scoring!$H$5:$H$172,MATCH(41,Scoring!$AH$5:$AH$172,0)))</f>
        <v>2</v>
      </c>
      <c r="K45" s="14" t="n">
        <f aca="false">IF($A45="","",INDEX(Scoring!$W$5:$W$172,MATCH(41,Scoring!$AH$5:$AH$172,0)))</f>
        <v>62.9</v>
      </c>
      <c r="L45" s="11" t="str">
        <f aca="false">IF($A45="","",INDEX(Scoring!$AA$5:$AA$172,MATCH(41,Scoring!$AH$5:$AH$172,0)))</f>
        <v>Tier 2 – Priority</v>
      </c>
      <c r="M45" s="13" t="str">
        <f aca="false">IF($A45="","",INDEX(Scoring!$AB$5:$AB$172,MATCH(41,Scoring!$AH$5:$AH$172,0)))</f>
        <v>Strengths: Employment after training 5/5, Employer / company profile 4/5, Specialization 5/5. Data Science &amp; AI (T5) track, cohort 2024; 2 months to outcome. Weak on: Promotion, Career transition.</v>
      </c>
      <c r="N45" s="13" t="str">
        <f aca="false">IF($A45="","",INDEX(Scoring!$AD$5:$AD$172,MATCH(41,Scoring!$AH$5:$AH$172,0)))</f>
        <v>Clear draft quote with graduate</v>
      </c>
      <c r="O45" s="10" t="str">
        <f aca="false">IF($A45="","",INDEX(Scoring!$AE$5:$AE$172,MATCH(41,Scoring!$AH$5:$AH$172,0)))</f>
        <v>Draft</v>
      </c>
    </row>
    <row r="46" customFormat="false" ht="57.75" hidden="false" customHeight="true" outlineLevel="0" collapsed="false">
      <c r="A46" s="9" t="n">
        <f aca="false">IF(42&lt;=$C$3,42,"")</f>
        <v>42</v>
      </c>
      <c r="B46" s="10" t="n">
        <f aca="false">IF($A46="","",INDEX(Scoring!$Z$5:$Z$172,MATCH(42,Scoring!$AH$5:$AH$172,0)))</f>
        <v>64</v>
      </c>
      <c r="C46" s="11" t="str">
        <f aca="false">IF($A46="","",IF(INDEX(Scoring!$AF$5:$AF$172,MATCH(42,Scoring!$AH$5:$AH$172,0))="Yes",IF(INDEX(Scoring!$Z$5:$Z$172,MATCH(42,Scoring!$AH$5:$AH$172,0))&lt;=Weights!$C$19,"Top 30 + added","Added to queue"),"Top 30 by score"))</f>
        <v>Added to queue</v>
      </c>
      <c r="D46" s="10" t="str">
        <f aca="false">IF($A46="","",INDEX(Scoring!$A$5:$A$172,MATCH(42,Scoring!$AH$5:$AH$172,0)))</f>
        <v>abdullah-alowayyid</v>
      </c>
      <c r="E46" s="12" t="str">
        <f aca="false">IF($A46="","",INDEX(Scoring!$B$5:$B$172,MATCH(42,Scoring!$AH$5:$AH$172,0)))</f>
        <v>عبدالله العويد</v>
      </c>
      <c r="F46" s="13" t="str">
        <f aca="false">IF($A46="","",INDEX(Scoring!$C$5:$C$172,MATCH(42,Scoring!$AH$5:$AH$172,0)))</f>
        <v>Abdullah Alowayyid</v>
      </c>
      <c r="G46" s="13" t="str">
        <f aca="false">IF($A46="","",INDEX(Scoring!$D$5:$D$172,MATCH(42,Scoring!$AH$5:$AH$172,0)))</f>
        <v>البنك العربي الوطني (ANB)</v>
      </c>
      <c r="H46" s="10" t="str">
        <f aca="false">IF($A46="","",INDEX(Scoring!$F$5:$F$172,MATCH(42,Scoring!$AH$5:$AH$172,0)))</f>
        <v>Data Management</v>
      </c>
      <c r="I46" s="10" t="n">
        <f aca="false">IF($A46="","",INDEX(Scoring!$G$5:$G$172,MATCH(42,Scoring!$AH$5:$AH$172,0)))</f>
        <v>2023</v>
      </c>
      <c r="J46" s="10" t="n">
        <f aca="false">IF($A46="","",INDEX(Scoring!$H$5:$H$172,MATCH(42,Scoring!$AH$5:$AH$172,0)))</f>
        <v>8</v>
      </c>
      <c r="K46" s="14" t="n">
        <f aca="false">IF($A46="","",INDEX(Scoring!$W$5:$W$172,MATCH(42,Scoring!$AH$5:$AH$172,0)))</f>
        <v>62.1</v>
      </c>
      <c r="L46" s="11" t="str">
        <f aca="false">IF($A46="","",INDEX(Scoring!$AA$5:$AA$172,MATCH(42,Scoring!$AH$5:$AH$172,0)))</f>
        <v>Tier 2 – Priority</v>
      </c>
      <c r="M46" s="13" t="str">
        <f aca="false">IF($A46="","",INDEX(Scoring!$AB$5:$AB$172,MATCH(42,Scoring!$AH$5:$AH$172,0)))</f>
        <v>Strengths: Employment after training 5/5, Employer / company profile 4/5, Story completeness 5/5. Data Management track, cohort 2023; 8 months to outcome. Weak on: Promotion, Career transition.</v>
      </c>
      <c r="N46" s="13" t="str">
        <f aca="false">IF($A46="","",INDEX(Scoring!$AD$5:$AD$172,MATCH(42,Scoring!$AH$5:$AH$172,0)))</f>
        <v>Clear draft quote with graduate</v>
      </c>
      <c r="O46" s="10" t="str">
        <f aca="false">IF($A46="","",INDEX(Scoring!$AE$5:$AE$172,MATCH(42,Scoring!$AH$5:$AH$172,0)))</f>
        <v>Draft</v>
      </c>
    </row>
    <row r="47" customFormat="false" ht="57.75" hidden="false" customHeight="true" outlineLevel="0" collapsed="false">
      <c r="A47" s="9" t="n">
        <f aca="false">IF(43&lt;=$C$3,43,"")</f>
        <v>43</v>
      </c>
      <c r="B47" s="10" t="n">
        <f aca="false">IF($A47="","",INDEX(Scoring!$Z$5:$Z$172,MATCH(43,Scoring!$AH$5:$AH$172,0)))</f>
        <v>65</v>
      </c>
      <c r="C47" s="11" t="str">
        <f aca="false">IF($A47="","",IF(INDEX(Scoring!$AF$5:$AF$172,MATCH(43,Scoring!$AH$5:$AH$172,0))="Yes",IF(INDEX(Scoring!$Z$5:$Z$172,MATCH(43,Scoring!$AH$5:$AH$172,0))&lt;=Weights!$C$19,"Top 30 + added","Added to queue"),"Top 30 by score"))</f>
        <v>Added to queue</v>
      </c>
      <c r="D47" s="10" t="str">
        <f aca="false">IF($A47="","",INDEX(Scoring!$A$5:$A$172,MATCH(43,Scoring!$AH$5:$AH$172,0)))</f>
        <v>dina-bokhamseen</v>
      </c>
      <c r="E47" s="12" t="str">
        <f aca="false">IF($A47="","",INDEX(Scoring!$B$5:$B$172,MATCH(43,Scoring!$AH$5:$AH$172,0)))</f>
        <v>دينا بوخمسين</v>
      </c>
      <c r="F47" s="13" t="str">
        <f aca="false">IF($A47="","",INDEX(Scoring!$C$5:$C$172,MATCH(43,Scoring!$AH$5:$AH$172,0)))</f>
        <v>Dina Bokhamseen</v>
      </c>
      <c r="G47" s="13" t="str">
        <f aca="false">IF($A47="","",INDEX(Scoring!$D$5:$D$172,MATCH(43,Scoring!$AH$5:$AH$172,0)))</f>
        <v>أكسنتشر</v>
      </c>
      <c r="H47" s="10" t="str">
        <f aca="false">IF($A47="","",INDEX(Scoring!$F$5:$F$172,MATCH(43,Scoring!$AH$5:$AH$172,0)))</f>
        <v>Data Science &amp; AI (T5)</v>
      </c>
      <c r="I47" s="10" t="n">
        <f aca="false">IF($A47="","",INDEX(Scoring!$G$5:$G$172,MATCH(43,Scoring!$AH$5:$AH$172,0)))</f>
        <v>2023</v>
      </c>
      <c r="J47" s="10" t="n">
        <f aca="false">IF($A47="","",INDEX(Scoring!$H$5:$H$172,MATCH(43,Scoring!$AH$5:$AH$172,0)))</f>
        <v>4</v>
      </c>
      <c r="K47" s="14" t="n">
        <f aca="false">IF($A47="","",INDEX(Scoring!$W$5:$W$172,MATCH(43,Scoring!$AH$5:$AH$172,0)))</f>
        <v>61.9</v>
      </c>
      <c r="L47" s="11" t="str">
        <f aca="false">IF($A47="","",INDEX(Scoring!$AA$5:$AA$172,MATCH(43,Scoring!$AH$5:$AH$172,0)))</f>
        <v>Tier 2 – Priority</v>
      </c>
      <c r="M47" s="13" t="str">
        <f aca="false">IF($A47="","",INDEX(Scoring!$AB$5:$AB$172,MATCH(43,Scoring!$AH$5:$AH$172,0)))</f>
        <v>Strengths: Employment after training 5/5, Employer / company profile 4/5, Specialization 5/5. Data Science &amp; AI (T5) track, cohort 2023; 4 months to outcome. Weak on: Promotion, Career transition.</v>
      </c>
      <c r="N47" s="13" t="str">
        <f aca="false">IF($A47="","",INDEX(Scoring!$AD$5:$AD$172,MATCH(43,Scoring!$AH$5:$AH$172,0)))</f>
        <v>Clear draft quote with graduate</v>
      </c>
      <c r="O47" s="10" t="str">
        <f aca="false">IF($A47="","",INDEX(Scoring!$AE$5:$AE$172,MATCH(43,Scoring!$AH$5:$AH$172,0)))</f>
        <v>Draft</v>
      </c>
    </row>
    <row r="48" customFormat="false" ht="57.75" hidden="false" customHeight="true" outlineLevel="0" collapsed="false">
      <c r="A48" s="9" t="n">
        <f aca="false">IF(44&lt;=$C$3,44,"")</f>
        <v>44</v>
      </c>
      <c r="B48" s="10" t="n">
        <f aca="false">IF($A48="","",INDEX(Scoring!$Z$5:$Z$172,MATCH(44,Scoring!$AH$5:$AH$172,0)))</f>
        <v>68</v>
      </c>
      <c r="C48" s="11" t="str">
        <f aca="false">IF($A48="","",IF(INDEX(Scoring!$AF$5:$AF$172,MATCH(44,Scoring!$AH$5:$AH$172,0))="Yes",IF(INDEX(Scoring!$Z$5:$Z$172,MATCH(44,Scoring!$AH$5:$AH$172,0))&lt;=Weights!$C$19,"Top 30 + added","Added to queue"),"Top 30 by score"))</f>
        <v>Added to queue</v>
      </c>
      <c r="D48" s="10" t="str">
        <f aca="false">IF($A48="","",INDEX(Scoring!$A$5:$A$172,MATCH(44,Scoring!$AH$5:$AH$172,0)))</f>
        <v>rawan-althubyani</v>
      </c>
      <c r="E48" s="12" t="str">
        <f aca="false">IF($A48="","",INDEX(Scoring!$B$5:$B$172,MATCH(44,Scoring!$AH$5:$AH$172,0)))</f>
        <v>روان الذبياني</v>
      </c>
      <c r="F48" s="13" t="str">
        <f aca="false">IF($A48="","",INDEX(Scoring!$C$5:$C$172,MATCH(44,Scoring!$AH$5:$AH$172,0)))</f>
        <v>Rawan Althubyani</v>
      </c>
      <c r="G48" s="13" t="str">
        <f aca="false">IF($A48="","",INDEX(Scoring!$D$5:$D$172,MATCH(44,Scoring!$AH$5:$AH$172,0)))</f>
        <v>إمارة منطقة مكة المكرمة</v>
      </c>
      <c r="H48" s="10" t="str">
        <f aca="false">IF($A48="","",INDEX(Scoring!$F$5:$F$172,MATCH(44,Scoring!$AH$5:$AH$172,0)))</f>
        <v>Data Science &amp; AI (T5)</v>
      </c>
      <c r="I48" s="10" t="n">
        <f aca="false">IF($A48="","",INDEX(Scoring!$G$5:$G$172,MATCH(44,Scoring!$AH$5:$AH$172,0)))</f>
        <v>2024</v>
      </c>
      <c r="J48" s="10" t="n">
        <f aca="false">IF($A48="","",INDEX(Scoring!$H$5:$H$172,MATCH(44,Scoring!$AH$5:$AH$172,0)))</f>
        <v>10</v>
      </c>
      <c r="K48" s="14" t="n">
        <f aca="false">IF($A48="","",INDEX(Scoring!$W$5:$W$172,MATCH(44,Scoring!$AH$5:$AH$172,0)))</f>
        <v>61.7</v>
      </c>
      <c r="L48" s="11" t="str">
        <f aca="false">IF($A48="","",INDEX(Scoring!$AA$5:$AA$172,MATCH(44,Scoring!$AH$5:$AH$172,0)))</f>
        <v>Tier 2 – Priority</v>
      </c>
      <c r="M48" s="13" t="str">
        <f aca="false">IF($A48="","",INDEX(Scoring!$AB$5:$AB$172,MATCH(44,Scoring!$AH$5:$AH$172,0)))</f>
        <v>Strengths: Employment after training 5/5, Employer / company profile 4/5, Story completeness 4.3/5. Data Science &amp; AI (T5) track, cohort 2024; 10 months to outcome. Weak on: Promotion.</v>
      </c>
      <c r="N48" s="13" t="str">
        <f aca="false">IF($A48="","",INDEX(Scoring!$AD$5:$AD$172,MATCH(44,Scoring!$AH$5:$AH$172,0)))</f>
        <v>Ready</v>
      </c>
      <c r="O48" s="10" t="str">
        <f aca="false">IF($A48="","",INDEX(Scoring!$AE$5:$AE$172,MATCH(44,Scoring!$AH$5:$AH$172,0)))</f>
        <v>Verified</v>
      </c>
    </row>
    <row r="49" customFormat="false" ht="57.75" hidden="false" customHeight="true" outlineLevel="0" collapsed="false">
      <c r="A49" s="9" t="n">
        <f aca="false">IF(45&lt;=$C$3,45,"")</f>
        <v>45</v>
      </c>
      <c r="B49" s="10" t="n">
        <f aca="false">IF($A49="","",INDEX(Scoring!$Z$5:$Z$172,MATCH(45,Scoring!$AH$5:$AH$172,0)))</f>
        <v>72</v>
      </c>
      <c r="C49" s="11" t="str">
        <f aca="false">IF($A49="","",IF(INDEX(Scoring!$AF$5:$AF$172,MATCH(45,Scoring!$AH$5:$AH$172,0))="Yes",IF(INDEX(Scoring!$Z$5:$Z$172,MATCH(45,Scoring!$AH$5:$AH$172,0))&lt;=Weights!$C$19,"Top 30 + added","Added to queue"),"Top 30 by score"))</f>
        <v>Added to queue</v>
      </c>
      <c r="D49" s="10" t="str">
        <f aca="false">IF($A49="","",INDEX(Scoring!$A$5:$A$172,MATCH(45,Scoring!$AH$5:$AH$172,0)))</f>
        <v>jehad-alhazmi</v>
      </c>
      <c r="E49" s="12" t="str">
        <f aca="false">IF($A49="","",INDEX(Scoring!$B$5:$B$172,MATCH(45,Scoring!$AH$5:$AH$172,0)))</f>
        <v>جهاد الحازمي</v>
      </c>
      <c r="F49" s="13" t="str">
        <f aca="false">IF($A49="","",INDEX(Scoring!$C$5:$C$172,MATCH(45,Scoring!$AH$5:$AH$172,0)))</f>
        <v>Jehad Alhazmi</v>
      </c>
      <c r="G49" s="13" t="str">
        <f aca="false">IF($A49="","",INDEX(Scoring!$D$5:$D$172,MATCH(45,Scoring!$AH$5:$AH$172,0)))</f>
        <v>بنك التنمية الاجتماعية</v>
      </c>
      <c r="H49" s="10" t="str">
        <f aca="false">IF($A49="","",INDEX(Scoring!$F$5:$F$172,MATCH(45,Scoring!$AH$5:$AH$172,0)))</f>
        <v>Data Engineering</v>
      </c>
      <c r="I49" s="10" t="n">
        <f aca="false">IF($A49="","",INDEX(Scoring!$G$5:$G$172,MATCH(45,Scoring!$AH$5:$AH$172,0)))</f>
        <v>2026</v>
      </c>
      <c r="J49" s="10" t="str">
        <f aca="false">IF($A49="","",INDEX(Scoring!$H$5:$H$172,MATCH(45,Scoring!$AH$5:$AH$172,0)))</f>
        <v>n/a</v>
      </c>
      <c r="K49" s="14" t="n">
        <f aca="false">IF($A49="","",INDEX(Scoring!$W$5:$W$172,MATCH(45,Scoring!$AH$5:$AH$172,0)))</f>
        <v>61.4</v>
      </c>
      <c r="L49" s="11" t="str">
        <f aca="false">IF($A49="","",INDEX(Scoring!$AA$5:$AA$172,MATCH(45,Scoring!$AH$5:$AH$172,0)))</f>
        <v>Tier 2 – Priority</v>
      </c>
      <c r="M49" s="13" t="str">
        <f aca="false">IF($A49="","",INDEX(Scoring!$AB$5:$AB$172,MATCH(45,Scoring!$AH$5:$AH$172,0)))</f>
        <v>Strengths: Employment after training 5/5, Employer / company profile 4/5, Story completeness 5/5. Data Engineering track, cohort 2026; timing dated by year only. Weak on: Promotion, Career transition.</v>
      </c>
      <c r="N49" s="13" t="str">
        <f aca="false">IF($A49="","",INDEX(Scoring!$AD$5:$AD$172,MATCH(45,Scoring!$AH$5:$AH$172,0)))</f>
        <v>Confirm month-level date</v>
      </c>
      <c r="O49" s="10" t="str">
        <f aca="false">IF($A49="","",INDEX(Scoring!$AE$5:$AE$172,MATCH(45,Scoring!$AH$5:$AH$172,0)))</f>
        <v>Verified</v>
      </c>
    </row>
    <row r="50" customFormat="false" ht="57.75" hidden="false" customHeight="true" outlineLevel="0" collapsed="false">
      <c r="A50" s="9" t="n">
        <f aca="false">IF(46&lt;=$C$3,46,"")</f>
        <v>46</v>
      </c>
      <c r="B50" s="10" t="n">
        <f aca="false">IF($A50="","",INDEX(Scoring!$Z$5:$Z$172,MATCH(46,Scoring!$AH$5:$AH$172,0)))</f>
        <v>81</v>
      </c>
      <c r="C50" s="11" t="str">
        <f aca="false">IF($A50="","",IF(INDEX(Scoring!$AF$5:$AF$172,MATCH(46,Scoring!$AH$5:$AH$172,0))="Yes",IF(INDEX(Scoring!$Z$5:$Z$172,MATCH(46,Scoring!$AH$5:$AH$172,0))&lt;=Weights!$C$19,"Top 30 + added","Added to queue"),"Top 30 by score"))</f>
        <v>Added to queue</v>
      </c>
      <c r="D50" s="10" t="str">
        <f aca="false">IF($A50="","",INDEX(Scoring!$A$5:$A$172,MATCH(46,Scoring!$AH$5:$AH$172,0)))</f>
        <v>hussain-alhadab</v>
      </c>
      <c r="E50" s="12" t="str">
        <f aca="false">IF($A50="","",INDEX(Scoring!$B$5:$B$172,MATCH(46,Scoring!$AH$5:$AH$172,0)))</f>
        <v>حسين الحدب</v>
      </c>
      <c r="F50" s="13" t="str">
        <f aca="false">IF($A50="","",INDEX(Scoring!$C$5:$C$172,MATCH(46,Scoring!$AH$5:$AH$172,0)))</f>
        <v>Hussain Alhadab</v>
      </c>
      <c r="G50" s="13" t="str">
        <f aca="false">IF($A50="","",INDEX(Scoring!$D$5:$D$172,MATCH(46,Scoring!$AH$5:$AH$172,0)))</f>
        <v>Devoteam</v>
      </c>
      <c r="H50" s="10" t="str">
        <f aca="false">IF($A50="","",INDEX(Scoring!$F$5:$F$172,MATCH(46,Scoring!$AH$5:$AH$172,0)))</f>
        <v>Data Science &amp; AI (T5)</v>
      </c>
      <c r="I50" s="10" t="n">
        <f aca="false">IF($A50="","",INDEX(Scoring!$G$5:$G$172,MATCH(46,Scoring!$AH$5:$AH$172,0)))</f>
        <v>2021</v>
      </c>
      <c r="J50" s="10" t="n">
        <f aca="false">IF($A50="","",INDEX(Scoring!$H$5:$H$172,MATCH(46,Scoring!$AH$5:$AH$172,0)))</f>
        <v>3</v>
      </c>
      <c r="K50" s="14" t="n">
        <f aca="false">IF($A50="","",INDEX(Scoring!$W$5:$W$172,MATCH(46,Scoring!$AH$5:$AH$172,0)))</f>
        <v>60</v>
      </c>
      <c r="L50" s="11" t="str">
        <f aca="false">IF($A50="","",INDEX(Scoring!$AA$5:$AA$172,MATCH(46,Scoring!$AH$5:$AH$172,0)))</f>
        <v>Tier 2 – Priority</v>
      </c>
      <c r="M50" s="13" t="str">
        <f aca="false">IF($A50="","",INDEX(Scoring!$AB$5:$AB$172,MATCH(46,Scoring!$AH$5:$AH$172,0)))</f>
        <v>Strengths: Employment after training 5/5, Employer / company profile 4/5, Specialization 4/5. Data Science &amp; AI (T5) track, cohort 2021; 3 months to outcome. Weak on: Promotion, Career transition.</v>
      </c>
      <c r="N50" s="13" t="str">
        <f aca="false">IF($A50="","",INDEX(Scoring!$AD$5:$AD$172,MATCH(46,Scoring!$AH$5:$AH$172,0)))</f>
        <v>Ready</v>
      </c>
      <c r="O50" s="10" t="str">
        <f aca="false">IF($A50="","",INDEX(Scoring!$AE$5:$AE$172,MATCH(46,Scoring!$AH$5:$AH$172,0)))</f>
        <v>Verified</v>
      </c>
    </row>
    <row r="51" customFormat="false" ht="57.75" hidden="false" customHeight="true" outlineLevel="0" collapsed="false">
      <c r="A51" s="9" t="n">
        <f aca="false">IF(47&lt;=$C$3,47,"")</f>
        <v>47</v>
      </c>
      <c r="B51" s="10" t="n">
        <f aca="false">IF($A51="","",INDEX(Scoring!$Z$5:$Z$172,MATCH(47,Scoring!$AH$5:$AH$172,0)))</f>
        <v>82</v>
      </c>
      <c r="C51" s="11" t="str">
        <f aca="false">IF($A51="","",IF(INDEX(Scoring!$AF$5:$AF$172,MATCH(47,Scoring!$AH$5:$AH$172,0))="Yes",IF(INDEX(Scoring!$Z$5:$Z$172,MATCH(47,Scoring!$AH$5:$AH$172,0))&lt;=Weights!$C$19,"Top 30 + added","Added to queue"),"Top 30 by score"))</f>
        <v>Added to queue</v>
      </c>
      <c r="D51" s="10" t="str">
        <f aca="false">IF($A51="","",INDEX(Scoring!$A$5:$A$172,MATCH(47,Scoring!$AH$5:$AH$172,0)))</f>
        <v>elaf-talal</v>
      </c>
      <c r="E51" s="12" t="str">
        <f aca="false">IF($A51="","",INDEX(Scoring!$B$5:$B$172,MATCH(47,Scoring!$AH$5:$AH$172,0)))</f>
        <v>إيلاف طلال</v>
      </c>
      <c r="F51" s="13" t="str">
        <f aca="false">IF($A51="","",INDEX(Scoring!$C$5:$C$172,MATCH(47,Scoring!$AH$5:$AH$172,0)))</f>
        <v>Elaf Talal</v>
      </c>
      <c r="G51" s="13" t="str">
        <f aca="false">IF($A51="","",INDEX(Scoring!$D$5:$D$172,MATCH(47,Scoring!$AH$5:$AH$172,0)))</f>
        <v>Devoteam</v>
      </c>
      <c r="H51" s="10" t="str">
        <f aca="false">IF($A51="","",INDEX(Scoring!$F$5:$F$172,MATCH(47,Scoring!$AH$5:$AH$172,0)))</f>
        <v>Data Science &amp; AI (T5)</v>
      </c>
      <c r="I51" s="10" t="n">
        <f aca="false">IF($A51="","",INDEX(Scoring!$G$5:$G$172,MATCH(47,Scoring!$AH$5:$AH$172,0)))</f>
        <v>2022</v>
      </c>
      <c r="J51" s="10" t="n">
        <f aca="false">IF($A51="","",INDEX(Scoring!$H$5:$H$172,MATCH(47,Scoring!$AH$5:$AH$172,0)))</f>
        <v>7</v>
      </c>
      <c r="K51" s="14" t="n">
        <f aca="false">IF($A51="","",INDEX(Scoring!$W$5:$W$172,MATCH(47,Scoring!$AH$5:$AH$172,0)))</f>
        <v>59.7</v>
      </c>
      <c r="L51" s="11" t="str">
        <f aca="false">IF($A51="","",INDEX(Scoring!$AA$5:$AA$172,MATCH(47,Scoring!$AH$5:$AH$172,0)))</f>
        <v>Tier 2 – Priority</v>
      </c>
      <c r="M51" s="13" t="str">
        <f aca="false">IF($A51="","",INDEX(Scoring!$AB$5:$AB$172,MATCH(47,Scoring!$AH$5:$AH$172,0)))</f>
        <v>Strengths: Employment after training 5/5, Employer / company profile 4/5, Specialization 5/5. Data Science &amp; AI (T5) track, cohort 2022; 7 months to outcome. Weak on: Promotion, Career transition.</v>
      </c>
      <c r="N51" s="13" t="str">
        <f aca="false">IF($A51="","",INDEX(Scoring!$AD$5:$AD$172,MATCH(47,Scoring!$AH$5:$AH$172,0)))</f>
        <v>Clear draft quote with graduate</v>
      </c>
      <c r="O51" s="10" t="str">
        <f aca="false">IF($A51="","",INDEX(Scoring!$AE$5:$AE$172,MATCH(47,Scoring!$AH$5:$AH$172,0)))</f>
        <v>Draft</v>
      </c>
    </row>
    <row r="52" customFormat="false" ht="57.75" hidden="false" customHeight="true" outlineLevel="0" collapsed="false">
      <c r="A52" s="9" t="n">
        <f aca="false">IF(48&lt;=$C$3,48,"")</f>
        <v>48</v>
      </c>
      <c r="B52" s="10" t="n">
        <f aca="false">IF($A52="","",INDEX(Scoring!$Z$5:$Z$172,MATCH(48,Scoring!$AH$5:$AH$172,0)))</f>
        <v>83</v>
      </c>
      <c r="C52" s="11" t="str">
        <f aca="false">IF($A52="","",IF(INDEX(Scoring!$AF$5:$AF$172,MATCH(48,Scoring!$AH$5:$AH$172,0))="Yes",IF(INDEX(Scoring!$Z$5:$Z$172,MATCH(48,Scoring!$AH$5:$AH$172,0))&lt;=Weights!$C$19,"Top 30 + added","Added to queue"),"Top 30 by score"))</f>
        <v>Added to queue</v>
      </c>
      <c r="D52" s="10" t="str">
        <f aca="false">IF($A52="","",INDEX(Scoring!$A$5:$A$172,MATCH(48,Scoring!$AH$5:$AH$172,0)))</f>
        <v>nawaf-aljalaud</v>
      </c>
      <c r="E52" s="12" t="str">
        <f aca="false">IF($A52="","",INDEX(Scoring!$B$5:$B$172,MATCH(48,Scoring!$AH$5:$AH$172,0)))</f>
        <v>نواف الجلعود</v>
      </c>
      <c r="F52" s="13" t="str">
        <f aca="false">IF($A52="","",INDEX(Scoring!$C$5:$C$172,MATCH(48,Scoring!$AH$5:$AH$172,0)))</f>
        <v>Nawaf Aljalaud</v>
      </c>
      <c r="G52" s="13" t="str">
        <f aca="false">IF($A52="","",INDEX(Scoring!$D$5:$D$172,MATCH(48,Scoring!$AH$5:$AH$172,0)))</f>
        <v>هدهد (HudHud Maps)</v>
      </c>
      <c r="H52" s="10" t="str">
        <f aca="false">IF($A52="","",INDEX(Scoring!$F$5:$F$172,MATCH(48,Scoring!$AH$5:$AH$172,0)))</f>
        <v>Data Science &amp; AI (T5)</v>
      </c>
      <c r="I52" s="10" t="n">
        <f aca="false">IF($A52="","",INDEX(Scoring!$G$5:$G$172,MATCH(48,Scoring!$AH$5:$AH$172,0)))</f>
        <v>2024</v>
      </c>
      <c r="J52" s="10" t="n">
        <f aca="false">IF($A52="","",INDEX(Scoring!$H$5:$H$172,MATCH(48,Scoring!$AH$5:$AH$172,0)))</f>
        <v>5</v>
      </c>
      <c r="K52" s="14" t="n">
        <f aca="false">IF($A52="","",INDEX(Scoring!$W$5:$W$172,MATCH(48,Scoring!$AH$5:$AH$172,0)))</f>
        <v>59.7</v>
      </c>
      <c r="L52" s="11" t="str">
        <f aca="false">IF($A52="","",INDEX(Scoring!$AA$5:$AA$172,MATCH(48,Scoring!$AH$5:$AH$172,0)))</f>
        <v>Tier 2 – Priority</v>
      </c>
      <c r="M52" s="13" t="str">
        <f aca="false">IF($A52="","",INDEX(Scoring!$AB$5:$AB$172,MATCH(48,Scoring!$AH$5:$AH$172,0)))</f>
        <v>Strengths: Employment after training 5/5, Employer / company profile 4/5, Specialization 5/5. Data Science &amp; AI (T5) track, cohort 2024; 5 months to outcome. Weak on: Promotion, Career transition.</v>
      </c>
      <c r="N52" s="13" t="str">
        <f aca="false">IF($A52="","",INDEX(Scoring!$AD$5:$AD$172,MATCH(48,Scoring!$AH$5:$AH$172,0)))</f>
        <v>Clear draft quote with graduate</v>
      </c>
      <c r="O52" s="10" t="str">
        <f aca="false">IF($A52="","",INDEX(Scoring!$AE$5:$AE$172,MATCH(48,Scoring!$AH$5:$AH$172,0)))</f>
        <v>Draft</v>
      </c>
    </row>
    <row r="53" customFormat="false" ht="57.75" hidden="false" customHeight="true" outlineLevel="0" collapsed="false">
      <c r="A53" s="9" t="n">
        <f aca="false">IF(49&lt;=$C$3,49,"")</f>
        <v>49</v>
      </c>
      <c r="B53" s="10" t="n">
        <f aca="false">IF($A53="","",INDEX(Scoring!$Z$5:$Z$172,MATCH(49,Scoring!$AH$5:$AH$172,0)))</f>
        <v>85</v>
      </c>
      <c r="C53" s="11" t="str">
        <f aca="false">IF($A53="","",IF(INDEX(Scoring!$AF$5:$AF$172,MATCH(49,Scoring!$AH$5:$AH$172,0))="Yes",IF(INDEX(Scoring!$Z$5:$Z$172,MATCH(49,Scoring!$AH$5:$AH$172,0))&lt;=Weights!$C$19,"Top 30 + added","Added to queue"),"Top 30 by score"))</f>
        <v>Added to queue</v>
      </c>
      <c r="D53" s="10" t="str">
        <f aca="false">IF($A53="","",INDEX(Scoring!$A$5:$A$172,MATCH(49,Scoring!$AH$5:$AH$172,0)))</f>
        <v>anas-alwohaib</v>
      </c>
      <c r="E53" s="12" t="str">
        <f aca="false">IF($A53="","",INDEX(Scoring!$B$5:$B$172,MATCH(49,Scoring!$AH$5:$AH$172,0)))</f>
        <v>أنس الوهيب</v>
      </c>
      <c r="F53" s="13" t="str">
        <f aca="false">IF($A53="","",INDEX(Scoring!$C$5:$C$172,MATCH(49,Scoring!$AH$5:$AH$172,0)))</f>
        <v>Anas Alwohaib</v>
      </c>
      <c r="G53" s="13" t="str">
        <f aca="false">IF($A53="","",INDEX(Scoring!$D$5:$D$172,MATCH(49,Scoring!$AH$5:$AH$172,0)))</f>
        <v>المركز الوطني لنظم الموارد الحكومية (NCGR)</v>
      </c>
      <c r="H53" s="10" t="str">
        <f aca="false">IF($A53="","",INDEX(Scoring!$F$5:$F$172,MATCH(49,Scoring!$AH$5:$AH$172,0)))</f>
        <v>Data Science &amp; AI (T5)</v>
      </c>
      <c r="I53" s="10" t="n">
        <f aca="false">IF($A53="","",INDEX(Scoring!$G$5:$G$172,MATCH(49,Scoring!$AH$5:$AH$172,0)))</f>
        <v>2024</v>
      </c>
      <c r="J53" s="10" t="n">
        <f aca="false">IF($A53="","",INDEX(Scoring!$H$5:$H$172,MATCH(49,Scoring!$AH$5:$AH$172,0)))</f>
        <v>7</v>
      </c>
      <c r="K53" s="14" t="n">
        <f aca="false">IF($A53="","",INDEX(Scoring!$W$5:$W$172,MATCH(49,Scoring!$AH$5:$AH$172,0)))</f>
        <v>59.7</v>
      </c>
      <c r="L53" s="11" t="str">
        <f aca="false">IF($A53="","",INDEX(Scoring!$AA$5:$AA$172,MATCH(49,Scoring!$AH$5:$AH$172,0)))</f>
        <v>Tier 2 – Priority</v>
      </c>
      <c r="M53" s="13" t="str">
        <f aca="false">IF($A53="","",INDEX(Scoring!$AB$5:$AB$172,MATCH(49,Scoring!$AH$5:$AH$172,0)))</f>
        <v>Strengths: Employment after training 5/5, Employer / company profile 4/5, Specialization 5/5. Data Science &amp; AI (T5) track, cohort 2024; 7 months to outcome. Weak on: Promotion, Career transition.</v>
      </c>
      <c r="N53" s="13" t="str">
        <f aca="false">IF($A53="","",INDEX(Scoring!$AD$5:$AD$172,MATCH(49,Scoring!$AH$5:$AH$172,0)))</f>
        <v>Clear draft quote with graduate</v>
      </c>
      <c r="O53" s="10" t="str">
        <f aca="false">IF($A53="","",INDEX(Scoring!$AE$5:$AE$172,MATCH(49,Scoring!$AH$5:$AH$172,0)))</f>
        <v>Draft</v>
      </c>
    </row>
    <row r="54" customFormat="false" ht="57.75" hidden="false" customHeight="true" outlineLevel="0" collapsed="false">
      <c r="A54" s="9" t="n">
        <f aca="false">IF(50&lt;=$C$3,50,"")</f>
        <v>50</v>
      </c>
      <c r="B54" s="10" t="n">
        <f aca="false">IF($A54="","",INDEX(Scoring!$Z$5:$Z$172,MATCH(50,Scoring!$AH$5:$AH$172,0)))</f>
        <v>87</v>
      </c>
      <c r="C54" s="11" t="str">
        <f aca="false">IF($A54="","",IF(INDEX(Scoring!$AF$5:$AF$172,MATCH(50,Scoring!$AH$5:$AH$172,0))="Yes",IF(INDEX(Scoring!$Z$5:$Z$172,MATCH(50,Scoring!$AH$5:$AH$172,0))&lt;=Weights!$C$19,"Top 30 + added","Added to queue"),"Top 30 by score"))</f>
        <v>Added to queue</v>
      </c>
      <c r="D54" s="10" t="str">
        <f aca="false">IF($A54="","",INDEX(Scoring!$A$5:$A$172,MATCH(50,Scoring!$AH$5:$AH$172,0)))</f>
        <v>abdulrahman-aljubaylan</v>
      </c>
      <c r="E54" s="12" t="str">
        <f aca="false">IF($A54="","",INDEX(Scoring!$B$5:$B$172,MATCH(50,Scoring!$AH$5:$AH$172,0)))</f>
        <v>عبدالرحمن الجبيلان</v>
      </c>
      <c r="F54" s="13" t="str">
        <f aca="false">IF($A54="","",INDEX(Scoring!$C$5:$C$172,MATCH(50,Scoring!$AH$5:$AH$172,0)))</f>
        <v>Abdulrahman Aljubaylan</v>
      </c>
      <c r="G54" s="13" t="str">
        <f aca="false">IF($A54="","",INDEX(Scoring!$D$5:$D$172,MATCH(50,Scoring!$AH$5:$AH$172,0)))</f>
        <v>الهيئة العامة للغذاء والدواء (SFDA)</v>
      </c>
      <c r="H54" s="10" t="str">
        <f aca="false">IF($A54="","",INDEX(Scoring!$F$5:$F$172,MATCH(50,Scoring!$AH$5:$AH$172,0)))</f>
        <v>Data Science &amp; AI (T5)</v>
      </c>
      <c r="I54" s="10" t="n">
        <f aca="false">IF($A54="","",INDEX(Scoring!$G$5:$G$172,MATCH(50,Scoring!$AH$5:$AH$172,0)))</f>
        <v>2021</v>
      </c>
      <c r="J54" s="10" t="n">
        <f aca="false">IF($A54="","",INDEX(Scoring!$H$5:$H$172,MATCH(50,Scoring!$AH$5:$AH$172,0)))</f>
        <v>6</v>
      </c>
      <c r="K54" s="14" t="n">
        <f aca="false">IF($A54="","",INDEX(Scoring!$W$5:$W$172,MATCH(50,Scoring!$AH$5:$AH$172,0)))</f>
        <v>59.5</v>
      </c>
      <c r="L54" s="11" t="str">
        <f aca="false">IF($A54="","",INDEX(Scoring!$AA$5:$AA$172,MATCH(50,Scoring!$AH$5:$AH$172,0)))</f>
        <v>Tier 2 – Priority</v>
      </c>
      <c r="M54" s="13" t="str">
        <f aca="false">IF($A54="","",INDEX(Scoring!$AB$5:$AB$172,MATCH(50,Scoring!$AH$5:$AH$172,0)))</f>
        <v>Strengths: Employer / company profile 5/5, Employment after training 5/5, Specialization 4/5. Data Science &amp; AI (T5) track, cohort 2021; 6 months to outcome. Weak on: Promotion, Career transition.</v>
      </c>
      <c r="N54" s="13" t="str">
        <f aca="false">IF($A54="","",INDEX(Scoring!$AD$5:$AD$172,MATCH(50,Scoring!$AH$5:$AH$172,0)))</f>
        <v>Clear draft quote with graduate</v>
      </c>
      <c r="O54" s="10" t="str">
        <f aca="false">IF($A54="","",INDEX(Scoring!$AE$5:$AE$172,MATCH(50,Scoring!$AH$5:$AH$172,0)))</f>
        <v>Draft</v>
      </c>
    </row>
    <row r="55" customFormat="false" ht="57.75" hidden="false" customHeight="true" outlineLevel="0" collapsed="false">
      <c r="A55" s="9" t="n">
        <f aca="false">IF(51&lt;=$C$3,51,"")</f>
        <v>51</v>
      </c>
      <c r="B55" s="10" t="n">
        <f aca="false">IF($A55="","",INDEX(Scoring!$Z$5:$Z$172,MATCH(51,Scoring!$AH$5:$AH$172,0)))</f>
        <v>89</v>
      </c>
      <c r="C55" s="11" t="str">
        <f aca="false">IF($A55="","",IF(INDEX(Scoring!$AF$5:$AF$172,MATCH(51,Scoring!$AH$5:$AH$172,0))="Yes",IF(INDEX(Scoring!$Z$5:$Z$172,MATCH(51,Scoring!$AH$5:$AH$172,0))&lt;=Weights!$C$19,"Top 30 + added","Added to queue"),"Top 30 by score"))</f>
        <v>Added to queue</v>
      </c>
      <c r="D55" s="10" t="str">
        <f aca="false">IF($A55="","",INDEX(Scoring!$A$5:$A$172,MATCH(51,Scoring!$AH$5:$AH$172,0)))</f>
        <v>meshal-aldalbahi</v>
      </c>
      <c r="E55" s="12" t="str">
        <f aca="false">IF($A55="","",INDEX(Scoring!$B$5:$B$172,MATCH(51,Scoring!$AH$5:$AH$172,0)))</f>
        <v>مشعل الدلبحي</v>
      </c>
      <c r="F55" s="13" t="str">
        <f aca="false">IF($A55="","",INDEX(Scoring!$C$5:$C$172,MATCH(51,Scoring!$AH$5:$AH$172,0)))</f>
        <v>Meshal Aldalbahi</v>
      </c>
      <c r="G55" s="13" t="str">
        <f aca="false">IF($A55="","",INDEX(Scoring!$D$5:$D$172,MATCH(51,Scoring!$AH$5:$AH$172,0)))</f>
        <v>هيئة تنمية البحث والتطوير والابتكار (RDI)</v>
      </c>
      <c r="H55" s="10" t="str">
        <f aca="false">IF($A55="","",INDEX(Scoring!$F$5:$F$172,MATCH(51,Scoring!$AH$5:$AH$172,0)))</f>
        <v>Data Science &amp; AI (T5)</v>
      </c>
      <c r="I55" s="10" t="n">
        <f aca="false">IF($A55="","",INDEX(Scoring!$G$5:$G$172,MATCH(51,Scoring!$AH$5:$AH$172,0)))</f>
        <v>2024</v>
      </c>
      <c r="J55" s="10" t="n">
        <f aca="false">IF($A55="","",INDEX(Scoring!$H$5:$H$172,MATCH(51,Scoring!$AH$5:$AH$172,0)))</f>
        <v>8</v>
      </c>
      <c r="K55" s="14" t="n">
        <f aca="false">IF($A55="","",INDEX(Scoring!$W$5:$W$172,MATCH(51,Scoring!$AH$5:$AH$172,0)))</f>
        <v>59.3</v>
      </c>
      <c r="L55" s="11" t="str">
        <f aca="false">IF($A55="","",INDEX(Scoring!$AA$5:$AA$172,MATCH(51,Scoring!$AH$5:$AH$172,0)))</f>
        <v>Tier 2 – Priority</v>
      </c>
      <c r="M55" s="13" t="str">
        <f aca="false">IF($A55="","",INDEX(Scoring!$AB$5:$AB$172,MATCH(51,Scoring!$AH$5:$AH$172,0)))</f>
        <v>Strengths: Employment after training 5/5, Employer / company profile 4/5, Specialization 4/5. Data Science &amp; AI (T5) track, cohort 2024; 8 months to outcome. Weak on: Promotion, Career transition.</v>
      </c>
      <c r="N55" s="13" t="str">
        <f aca="false">IF($A55="","",INDEX(Scoring!$AD$5:$AD$172,MATCH(51,Scoring!$AH$5:$AH$172,0)))</f>
        <v>Clear draft quote with graduate; Add employer logo</v>
      </c>
      <c r="O55" s="10" t="str">
        <f aca="false">IF($A55="","",INDEX(Scoring!$AE$5:$AE$172,MATCH(51,Scoring!$AH$5:$AH$172,0)))</f>
        <v>Draft</v>
      </c>
    </row>
    <row r="56" customFormat="false" ht="57.75" hidden="false" customHeight="true" outlineLevel="0" collapsed="false">
      <c r="A56" s="9" t="n">
        <f aca="false">IF(52&lt;=$C$3,52,"")</f>
        <v>52</v>
      </c>
      <c r="B56" s="10" t="n">
        <f aca="false">IF($A56="","",INDEX(Scoring!$Z$5:$Z$172,MATCH(52,Scoring!$AH$5:$AH$172,0)))</f>
        <v>91</v>
      </c>
      <c r="C56" s="11" t="str">
        <f aca="false">IF($A56="","",IF(INDEX(Scoring!$AF$5:$AF$172,MATCH(52,Scoring!$AH$5:$AH$172,0))="Yes",IF(INDEX(Scoring!$Z$5:$Z$172,MATCH(52,Scoring!$AH$5:$AH$172,0))&lt;=Weights!$C$19,"Top 30 + added","Added to queue"),"Top 30 by score"))</f>
        <v>Added to queue</v>
      </c>
      <c r="D56" s="10" t="str">
        <f aca="false">IF($A56="","",INDEX(Scoring!$A$5:$A$172,MATCH(52,Scoring!$AH$5:$AH$172,0)))</f>
        <v>omar-alhadi</v>
      </c>
      <c r="E56" s="12" t="str">
        <f aca="false">IF($A56="","",INDEX(Scoring!$B$5:$B$172,MATCH(52,Scoring!$AH$5:$AH$172,0)))</f>
        <v>عمر الهادي</v>
      </c>
      <c r="F56" s="13" t="str">
        <f aca="false">IF($A56="","",INDEX(Scoring!$C$5:$C$172,MATCH(52,Scoring!$AH$5:$AH$172,0)))</f>
        <v>Omar Alhadi</v>
      </c>
      <c r="G56" s="13" t="str">
        <f aca="false">IF($A56="","",INDEX(Scoring!$D$5:$D$172,MATCH(52,Scoring!$AH$5:$AH$172,0)))</f>
        <v>مطارات الرياض</v>
      </c>
      <c r="H56" s="10" t="str">
        <f aca="false">IF($A56="","",INDEX(Scoring!$F$5:$F$172,MATCH(52,Scoring!$AH$5:$AH$172,0)))</f>
        <v>Data Science &amp; AI (T5)</v>
      </c>
      <c r="I56" s="10" t="n">
        <f aca="false">IF($A56="","",INDEX(Scoring!$G$5:$G$172,MATCH(52,Scoring!$AH$5:$AH$172,0)))</f>
        <v>2021</v>
      </c>
      <c r="J56" s="10" t="n">
        <f aca="false">IF($A56="","",INDEX(Scoring!$H$5:$H$172,MATCH(52,Scoring!$AH$5:$AH$172,0)))</f>
        <v>3</v>
      </c>
      <c r="K56" s="14" t="n">
        <f aca="false">IF($A56="","",INDEX(Scoring!$W$5:$W$172,MATCH(52,Scoring!$AH$5:$AH$172,0)))</f>
        <v>58.9</v>
      </c>
      <c r="L56" s="11" t="str">
        <f aca="false">IF($A56="","",INDEX(Scoring!$AA$5:$AA$172,MATCH(52,Scoring!$AH$5:$AH$172,0)))</f>
        <v>Tier 2 – Priority</v>
      </c>
      <c r="M56" s="13" t="str">
        <f aca="false">IF($A56="","",INDEX(Scoring!$AB$5:$AB$172,MATCH(52,Scoring!$AH$5:$AH$172,0)))</f>
        <v>Strengths: Employment after training 5/5, Employer / company profile 4/5, Time since training 4/5. Data Science &amp; AI (T5) track, cohort 2021; 3 months to outcome. Weak on: Promotion.</v>
      </c>
      <c r="N56" s="13" t="str">
        <f aca="false">IF($A56="","",INDEX(Scoring!$AD$5:$AD$172,MATCH(52,Scoring!$AH$5:$AH$172,0)))</f>
        <v>Clear draft quote with graduate</v>
      </c>
      <c r="O56" s="10" t="str">
        <f aca="false">IF($A56="","",INDEX(Scoring!$AE$5:$AE$172,MATCH(52,Scoring!$AH$5:$AH$172,0)))</f>
        <v>Draft</v>
      </c>
    </row>
    <row r="57" customFormat="false" ht="57.75" hidden="false" customHeight="true" outlineLevel="0" collapsed="false">
      <c r="A57" s="9" t="n">
        <f aca="false">IF(53&lt;=$C$3,53,"")</f>
        <v>53</v>
      </c>
      <c r="B57" s="10" t="n">
        <f aca="false">IF($A57="","",INDEX(Scoring!$Z$5:$Z$172,MATCH(53,Scoring!$AH$5:$AH$172,0)))</f>
        <v>95</v>
      </c>
      <c r="C57" s="11" t="str">
        <f aca="false">IF($A57="","",IF(INDEX(Scoring!$AF$5:$AF$172,MATCH(53,Scoring!$AH$5:$AH$172,0))="Yes",IF(INDEX(Scoring!$Z$5:$Z$172,MATCH(53,Scoring!$AH$5:$AH$172,0))&lt;=Weights!$C$19,"Top 30 + added","Added to queue"),"Top 30 by score"))</f>
        <v>Added to queue</v>
      </c>
      <c r="D57" s="10" t="str">
        <f aca="false">IF($A57="","",INDEX(Scoring!$A$5:$A$172,MATCH(53,Scoring!$AH$5:$AH$172,0)))</f>
        <v>abdulrahman-alghofaily</v>
      </c>
      <c r="E57" s="12" t="str">
        <f aca="false">IF($A57="","",INDEX(Scoring!$B$5:$B$172,MATCH(53,Scoring!$AH$5:$AH$172,0)))</f>
        <v>عبدالرحمن الغفيلي</v>
      </c>
      <c r="F57" s="13" t="str">
        <f aca="false">IF($A57="","",INDEX(Scoring!$C$5:$C$172,MATCH(53,Scoring!$AH$5:$AH$172,0)))</f>
        <v>Abdulrahman Alghofaily</v>
      </c>
      <c r="G57" s="13" t="str">
        <f aca="false">IF($A57="","",INDEX(Scoring!$D$5:$D$172,MATCH(53,Scoring!$AH$5:$AH$172,0)))</f>
        <v>GeoTech</v>
      </c>
      <c r="H57" s="10" t="str">
        <f aca="false">IF($A57="","",INDEX(Scoring!$F$5:$F$172,MATCH(53,Scoring!$AH$5:$AH$172,0)))</f>
        <v>Data Science &amp; AI (T5)</v>
      </c>
      <c r="I57" s="10" t="n">
        <f aca="false">IF($A57="","",INDEX(Scoring!$G$5:$G$172,MATCH(53,Scoring!$AH$5:$AH$172,0)))</f>
        <v>2023</v>
      </c>
      <c r="J57" s="10" t="n">
        <f aca="false">IF($A57="","",INDEX(Scoring!$H$5:$H$172,MATCH(53,Scoring!$AH$5:$AH$172,0)))</f>
        <v>1</v>
      </c>
      <c r="K57" s="14" t="n">
        <f aca="false">IF($A57="","",INDEX(Scoring!$W$5:$W$172,MATCH(53,Scoring!$AH$5:$AH$172,0)))</f>
        <v>58.7</v>
      </c>
      <c r="L57" s="11" t="str">
        <f aca="false">IF($A57="","",INDEX(Scoring!$AA$5:$AA$172,MATCH(53,Scoring!$AH$5:$AH$172,0)))</f>
        <v>Tier 2 – Priority</v>
      </c>
      <c r="M57" s="13" t="str">
        <f aca="false">IF($A57="","",INDEX(Scoring!$AB$5:$AB$172,MATCH(53,Scoring!$AH$5:$AH$172,0)))</f>
        <v>Strengths: Employment after training 5/5, Specialization 5/5, Time since training 5/5. Data Science &amp; AI (T5) track, cohort 2023; 1 month to outcome. Weak on: Promotion, Career transition.</v>
      </c>
      <c r="N57" s="13" t="str">
        <f aca="false">IF($A57="","",INDEX(Scoring!$AD$5:$AD$172,MATCH(53,Scoring!$AH$5:$AH$172,0)))</f>
        <v>Clear draft quote with graduate</v>
      </c>
      <c r="O57" s="10" t="str">
        <f aca="false">IF($A57="","",INDEX(Scoring!$AE$5:$AE$172,MATCH(53,Scoring!$AH$5:$AH$172,0)))</f>
        <v>Draft</v>
      </c>
    </row>
    <row r="58" customFormat="false" ht="57.75" hidden="false" customHeight="true" outlineLevel="0" collapsed="false">
      <c r="A58" s="9" t="n">
        <f aca="false">IF(54&lt;=$C$3,54,"")</f>
        <v>54</v>
      </c>
      <c r="B58" s="10" t="n">
        <f aca="false">IF($A58="","",INDEX(Scoring!$Z$5:$Z$172,MATCH(54,Scoring!$AH$5:$AH$172,0)))</f>
        <v>97</v>
      </c>
      <c r="C58" s="11" t="str">
        <f aca="false">IF($A58="","",IF(INDEX(Scoring!$AF$5:$AF$172,MATCH(54,Scoring!$AH$5:$AH$172,0))="Yes",IF(INDEX(Scoring!$Z$5:$Z$172,MATCH(54,Scoring!$AH$5:$AH$172,0))&lt;=Weights!$C$19,"Top 30 + added","Added to queue"),"Top 30 by score"))</f>
        <v>Added to queue</v>
      </c>
      <c r="D58" s="10" t="str">
        <f aca="false">IF($A58="","",INDEX(Scoring!$A$5:$A$172,MATCH(54,Scoring!$AH$5:$AH$172,0)))</f>
        <v>sultan-almgablh</v>
      </c>
      <c r="E58" s="12" t="str">
        <f aca="false">IF($A58="","",INDEX(Scoring!$B$5:$B$172,MATCH(54,Scoring!$AH$5:$AH$172,0)))</f>
        <v>سلطان المقابلة</v>
      </c>
      <c r="F58" s="13" t="str">
        <f aca="false">IF($A58="","",INDEX(Scoring!$C$5:$C$172,MATCH(54,Scoring!$AH$5:$AH$172,0)))</f>
        <v>Sultan Almgablh</v>
      </c>
      <c r="G58" s="13" t="str">
        <f aca="false">IF($A58="","",INDEX(Scoring!$D$5:$D$172,MATCH(54,Scoring!$AH$5:$AH$172,0)))</f>
        <v>المركز الوطني للنخيل والتمور (NCPD)</v>
      </c>
      <c r="H58" s="10" t="str">
        <f aca="false">IF($A58="","",INDEX(Scoring!$F$5:$F$172,MATCH(54,Scoring!$AH$5:$AH$172,0)))</f>
        <v>Data Management</v>
      </c>
      <c r="I58" s="10" t="n">
        <f aca="false">IF($A58="","",INDEX(Scoring!$G$5:$G$172,MATCH(54,Scoring!$AH$5:$AH$172,0)))</f>
        <v>2023</v>
      </c>
      <c r="J58" s="10" t="n">
        <f aca="false">IF($A58="","",INDEX(Scoring!$H$5:$H$172,MATCH(54,Scoring!$AH$5:$AH$172,0)))</f>
        <v>6</v>
      </c>
      <c r="K58" s="14" t="n">
        <f aca="false">IF($A58="","",INDEX(Scoring!$W$5:$W$172,MATCH(54,Scoring!$AH$5:$AH$172,0)))</f>
        <v>58.1</v>
      </c>
      <c r="L58" s="11" t="str">
        <f aca="false">IF($A58="","",INDEX(Scoring!$AA$5:$AA$172,MATCH(54,Scoring!$AH$5:$AH$172,0)))</f>
        <v>Tier 2 – Priority</v>
      </c>
      <c r="M58" s="13" t="str">
        <f aca="false">IF($A58="","",INDEX(Scoring!$AB$5:$AB$172,MATCH(54,Scoring!$AH$5:$AH$172,0)))</f>
        <v>Strengths: Employment after training 5/5, Employer / company profile 4/5, Specialization 4/5. Data Management track, cohort 2023; 6 months to outcome. Weak on: Promotion, Career transition.</v>
      </c>
      <c r="N58" s="13" t="str">
        <f aca="false">IF($A58="","",INDEX(Scoring!$AD$5:$AD$172,MATCH(54,Scoring!$AH$5:$AH$172,0)))</f>
        <v>Clear draft quote with graduate</v>
      </c>
      <c r="O58" s="10" t="str">
        <f aca="false">IF($A58="","",INDEX(Scoring!$AE$5:$AE$172,MATCH(54,Scoring!$AH$5:$AH$172,0)))</f>
        <v>Draft</v>
      </c>
    </row>
    <row r="59" customFormat="false" ht="57.75" hidden="false" customHeight="true" outlineLevel="0" collapsed="false">
      <c r="A59" s="9" t="n">
        <f aca="false">IF(55&lt;=$C$3,55,"")</f>
        <v>55</v>
      </c>
      <c r="B59" s="10" t="n">
        <f aca="false">IF($A59="","",INDEX(Scoring!$Z$5:$Z$172,MATCH(55,Scoring!$AH$5:$AH$172,0)))</f>
        <v>105</v>
      </c>
      <c r="C59" s="11" t="str">
        <f aca="false">IF($A59="","",IF(INDEX(Scoring!$AF$5:$AF$172,MATCH(55,Scoring!$AH$5:$AH$172,0))="Yes",IF(INDEX(Scoring!$Z$5:$Z$172,MATCH(55,Scoring!$AH$5:$AH$172,0))&lt;=Weights!$C$19,"Top 30 + added","Added to queue"),"Top 30 by score"))</f>
        <v>Added to queue</v>
      </c>
      <c r="D59" s="10" t="str">
        <f aca="false">IF($A59="","",INDEX(Scoring!$A$5:$A$172,MATCH(55,Scoring!$AH$5:$AH$172,0)))</f>
        <v>saleh-alanazi</v>
      </c>
      <c r="E59" s="12" t="str">
        <f aca="false">IF($A59="","",INDEX(Scoring!$B$5:$B$172,MATCH(55,Scoring!$AH$5:$AH$172,0)))</f>
        <v>صالح العنزي</v>
      </c>
      <c r="F59" s="13" t="str">
        <f aca="false">IF($A59="","",INDEX(Scoring!$C$5:$C$172,MATCH(55,Scoring!$AH$5:$AH$172,0)))</f>
        <v>Saleh Alanazi</v>
      </c>
      <c r="G59" s="13" t="str">
        <f aca="false">IF($A59="","",INDEX(Scoring!$D$5:$D$172,MATCH(55,Scoring!$AH$5:$AH$172,0)))</f>
        <v>بيانات وأعمال (DataPlus)</v>
      </c>
      <c r="H59" s="10" t="str">
        <f aca="false">IF($A59="","",INDEX(Scoring!$F$5:$F$172,MATCH(55,Scoring!$AH$5:$AH$172,0)))</f>
        <v>Data Science &amp; AI (T5)</v>
      </c>
      <c r="I59" s="10" t="n">
        <f aca="false">IF($A59="","",INDEX(Scoring!$G$5:$G$172,MATCH(55,Scoring!$AH$5:$AH$172,0)))</f>
        <v>2024</v>
      </c>
      <c r="J59" s="10" t="n">
        <f aca="false">IF($A59="","",INDEX(Scoring!$H$5:$H$172,MATCH(55,Scoring!$AH$5:$AH$172,0)))</f>
        <v>1</v>
      </c>
      <c r="K59" s="14" t="n">
        <f aca="false">IF($A59="","",INDEX(Scoring!$W$5:$W$172,MATCH(55,Scoring!$AH$5:$AH$172,0)))</f>
        <v>57</v>
      </c>
      <c r="L59" s="11" t="str">
        <f aca="false">IF($A59="","",INDEX(Scoring!$AA$5:$AA$172,MATCH(55,Scoring!$AH$5:$AH$172,0)))</f>
        <v>Tier 2 – Priority</v>
      </c>
      <c r="M59" s="13" t="str">
        <f aca="false">IF($A59="","",INDEX(Scoring!$AB$5:$AB$172,MATCH(55,Scoring!$AH$5:$AH$172,0)))</f>
        <v>Strengths: Employment after training 5/5, Specialization 5/5, Time since training 5/5. Data Science &amp; AI (T5) track, cohort 2024; 1 month to outcome. Weak on: Promotion, Career transition.</v>
      </c>
      <c r="N59" s="13" t="str">
        <f aca="false">IF($A59="","",INDEX(Scoring!$AD$5:$AD$172,MATCH(55,Scoring!$AH$5:$AH$172,0)))</f>
        <v>Clear draft quote with graduate; Add employer logo</v>
      </c>
      <c r="O59" s="10" t="str">
        <f aca="false">IF($A59="","",INDEX(Scoring!$AE$5:$AE$172,MATCH(55,Scoring!$AH$5:$AH$172,0)))</f>
        <v>Draft</v>
      </c>
    </row>
    <row r="60" customFormat="false" ht="57.75" hidden="false" customHeight="true" outlineLevel="0" collapsed="false">
      <c r="A60" s="9" t="n">
        <f aca="false">IF(56&lt;=$C$3,56,"")</f>
        <v>56</v>
      </c>
      <c r="B60" s="10" t="n">
        <f aca="false">IF($A60="","",INDEX(Scoring!$Z$5:$Z$172,MATCH(56,Scoring!$AH$5:$AH$172,0)))</f>
        <v>110</v>
      </c>
      <c r="C60" s="11" t="str">
        <f aca="false">IF($A60="","",IF(INDEX(Scoring!$AF$5:$AF$172,MATCH(56,Scoring!$AH$5:$AH$172,0))="Yes",IF(INDEX(Scoring!$Z$5:$Z$172,MATCH(56,Scoring!$AH$5:$AH$172,0))&lt;=Weights!$C$19,"Top 30 + added","Added to queue"),"Top 30 by score"))</f>
        <v>Added to queue</v>
      </c>
      <c r="D60" s="10" t="str">
        <f aca="false">IF($A60="","",INDEX(Scoring!$A$5:$A$172,MATCH(56,Scoring!$AH$5:$AH$172,0)))</f>
        <v>jana-sadawi</v>
      </c>
      <c r="E60" s="12" t="str">
        <f aca="false">IF($A60="","",INDEX(Scoring!$B$5:$B$172,MATCH(56,Scoring!$AH$5:$AH$172,0)))</f>
        <v>جنى سعداوي</v>
      </c>
      <c r="F60" s="13" t="str">
        <f aca="false">IF($A60="","",INDEX(Scoring!$C$5:$C$172,MATCH(56,Scoring!$AH$5:$AH$172,0)))</f>
        <v>Jana Sadawi</v>
      </c>
      <c r="G60" s="13" t="str">
        <f aca="false">IF($A60="","",INDEX(Scoring!$D$5:$D$172,MATCH(56,Scoring!$AH$5:$AH$172,0)))</f>
        <v>SDM</v>
      </c>
      <c r="H60" s="10" t="str">
        <f aca="false">IF($A60="","",INDEX(Scoring!$F$5:$F$172,MATCH(56,Scoring!$AH$5:$AH$172,0)))</f>
        <v>Data Science &amp; AI (T5)</v>
      </c>
      <c r="I60" s="10" t="n">
        <f aca="false">IF($A60="","",INDEX(Scoring!$G$5:$G$172,MATCH(56,Scoring!$AH$5:$AH$172,0)))</f>
        <v>2024</v>
      </c>
      <c r="J60" s="10" t="n">
        <f aca="false">IF($A60="","",INDEX(Scoring!$H$5:$H$172,MATCH(56,Scoring!$AH$5:$AH$172,0)))</f>
        <v>4</v>
      </c>
      <c r="K60" s="14" t="n">
        <f aca="false">IF($A60="","",INDEX(Scoring!$W$5:$W$172,MATCH(56,Scoring!$AH$5:$AH$172,0)))</f>
        <v>56.5</v>
      </c>
      <c r="L60" s="11" t="str">
        <f aca="false">IF($A60="","",INDEX(Scoring!$AA$5:$AA$172,MATCH(56,Scoring!$AH$5:$AH$172,0)))</f>
        <v>Tier 2 – Priority</v>
      </c>
      <c r="M60" s="13" t="str">
        <f aca="false">IF($A60="","",INDEX(Scoring!$AB$5:$AB$172,MATCH(56,Scoring!$AH$5:$AH$172,0)))</f>
        <v>Strengths: Employment after training 5/5, Specialization 5/5, Time since training 4/5. Data Science &amp; AI (T5) track, cohort 2024; 4 months to outcome. Weak on: Promotion, Career transition.</v>
      </c>
      <c r="N60" s="13" t="str">
        <f aca="false">IF($A60="","",INDEX(Scoring!$AD$5:$AD$172,MATCH(56,Scoring!$AH$5:$AH$172,0)))</f>
        <v>Clear draft quote with graduate</v>
      </c>
      <c r="O60" s="10" t="str">
        <f aca="false">IF($A60="","",INDEX(Scoring!$AE$5:$AE$172,MATCH(56,Scoring!$AH$5:$AH$172,0)))</f>
        <v>Draft</v>
      </c>
    </row>
    <row r="61" customFormat="false" ht="57.75" hidden="false" customHeight="true" outlineLevel="0" collapsed="false">
      <c r="A61" s="9" t="n">
        <f aca="false">IF(57&lt;=$C$3,57,"")</f>
        <v>57</v>
      </c>
      <c r="B61" s="10" t="n">
        <f aca="false">IF($A61="","",INDEX(Scoring!$Z$5:$Z$172,MATCH(57,Scoring!$AH$5:$AH$172,0)))</f>
        <v>123</v>
      </c>
      <c r="C61" s="11" t="str">
        <f aca="false">IF($A61="","",IF(INDEX(Scoring!$AF$5:$AF$172,MATCH(57,Scoring!$AH$5:$AH$172,0))="Yes",IF(INDEX(Scoring!$Z$5:$Z$172,MATCH(57,Scoring!$AH$5:$AH$172,0))&lt;=Weights!$C$19,"Top 30 + added","Added to queue"),"Top 30 by score"))</f>
        <v>Added to queue</v>
      </c>
      <c r="D61" s="10" t="str">
        <f aca="false">IF($A61="","",INDEX(Scoring!$A$5:$A$172,MATCH(57,Scoring!$AH$5:$AH$172,0)))</f>
        <v>anwar-alsharari</v>
      </c>
      <c r="E61" s="12" t="str">
        <f aca="false">IF($A61="","",INDEX(Scoring!$B$5:$B$172,MATCH(57,Scoring!$AH$5:$AH$172,0)))</f>
        <v>أنوار الشراري</v>
      </c>
      <c r="F61" s="13" t="str">
        <f aca="false">IF($A61="","",INDEX(Scoring!$C$5:$C$172,MATCH(57,Scoring!$AH$5:$AH$172,0)))</f>
        <v>Anwar Alsharari</v>
      </c>
      <c r="G61" s="13" t="str">
        <f aca="false">IF($A61="","",INDEX(Scoring!$D$5:$D$172,MATCH(57,Scoring!$AH$5:$AH$172,0)))</f>
        <v>عزم السعودية (Saudi Azm)</v>
      </c>
      <c r="H61" s="10" t="str">
        <f aca="false">IF($A61="","",INDEX(Scoring!$F$5:$F$172,MATCH(57,Scoring!$AH$5:$AH$172,0)))</f>
        <v>Data Science &amp; AI (T5)</v>
      </c>
      <c r="I61" s="10" t="n">
        <f aca="false">IF($A61="","",INDEX(Scoring!$G$5:$G$172,MATCH(57,Scoring!$AH$5:$AH$172,0)))</f>
        <v>2024</v>
      </c>
      <c r="J61" s="10" t="n">
        <f aca="false">IF($A61="","",INDEX(Scoring!$H$5:$H$172,MATCH(57,Scoring!$AH$5:$AH$172,0)))</f>
        <v>3</v>
      </c>
      <c r="K61" s="14" t="n">
        <f aca="false">IF($A61="","",INDEX(Scoring!$W$5:$W$172,MATCH(57,Scoring!$AH$5:$AH$172,0)))</f>
        <v>54.9</v>
      </c>
      <c r="L61" s="11" t="str">
        <f aca="false">IF($A61="","",INDEX(Scoring!$AA$5:$AA$172,MATCH(57,Scoring!$AH$5:$AH$172,0)))</f>
        <v>Tier 2 – Priority</v>
      </c>
      <c r="M61" s="13" t="str">
        <f aca="false">IF($A61="","",INDEX(Scoring!$AB$5:$AB$172,MATCH(57,Scoring!$AH$5:$AH$172,0)))</f>
        <v>Strengths: Employment after training 5/5, Specialization 4/5, Time since training 4/5. Data Science &amp; AI (T5) track, cohort 2024; 3 months to outcome. Weak on: Promotion, Career transition.</v>
      </c>
      <c r="N61" s="13" t="str">
        <f aca="false">IF($A61="","",INDEX(Scoring!$AD$5:$AD$172,MATCH(57,Scoring!$AH$5:$AH$172,0)))</f>
        <v>Clear draft quote with graduate</v>
      </c>
      <c r="O61" s="10" t="str">
        <f aca="false">IF($A61="","",INDEX(Scoring!$AE$5:$AE$172,MATCH(57,Scoring!$AH$5:$AH$172,0)))</f>
        <v>Draft</v>
      </c>
    </row>
    <row r="62" customFormat="false" ht="57.75" hidden="false" customHeight="true" outlineLevel="0" collapsed="false">
      <c r="A62" s="9" t="n">
        <f aca="false">IF(58&lt;=$C$3,58,"")</f>
        <v>58</v>
      </c>
      <c r="B62" s="10" t="n">
        <f aca="false">IF($A62="","",INDEX(Scoring!$Z$5:$Z$172,MATCH(58,Scoring!$AH$5:$AH$172,0)))</f>
        <v>130</v>
      </c>
      <c r="C62" s="11" t="str">
        <f aca="false">IF($A62="","",IF(INDEX(Scoring!$AF$5:$AF$172,MATCH(58,Scoring!$AH$5:$AH$172,0))="Yes",IF(INDEX(Scoring!$Z$5:$Z$172,MATCH(58,Scoring!$AH$5:$AH$172,0))&lt;=Weights!$C$19,"Top 30 + added","Added to queue"),"Top 30 by score"))</f>
        <v>Added to queue</v>
      </c>
      <c r="D62" s="10" t="str">
        <f aca="false">IF($A62="","",INDEX(Scoring!$A$5:$A$172,MATCH(58,Scoring!$AH$5:$AH$172,0)))</f>
        <v>fahad-alaskar</v>
      </c>
      <c r="E62" s="12" t="str">
        <f aca="false">IF($A62="","",INDEX(Scoring!$B$5:$B$172,MATCH(58,Scoring!$AH$5:$AH$172,0)))</f>
        <v>فهد العسكر</v>
      </c>
      <c r="F62" s="13" t="str">
        <f aca="false">IF($A62="","",INDEX(Scoring!$C$5:$C$172,MATCH(58,Scoring!$AH$5:$AH$172,0)))</f>
        <v>Fahad Alaskar</v>
      </c>
      <c r="G62" s="13" t="str">
        <f aca="false">IF($A62="","",INDEX(Scoring!$D$5:$D$172,MATCH(58,Scoring!$AH$5:$AH$172,0)))</f>
        <v>SadaaCX</v>
      </c>
      <c r="H62" s="10" t="str">
        <f aca="false">IF($A62="","",INDEX(Scoring!$F$5:$F$172,MATCH(58,Scoring!$AH$5:$AH$172,0)))</f>
        <v>Data Science &amp; AI (T5)</v>
      </c>
      <c r="I62" s="10" t="n">
        <f aca="false">IF($A62="","",INDEX(Scoring!$G$5:$G$172,MATCH(58,Scoring!$AH$5:$AH$172,0)))</f>
        <v>2024</v>
      </c>
      <c r="J62" s="10" t="n">
        <f aca="false">IF($A62="","",INDEX(Scoring!$H$5:$H$172,MATCH(58,Scoring!$AH$5:$AH$172,0)))</f>
        <v>3</v>
      </c>
      <c r="K62" s="14" t="n">
        <f aca="false">IF($A62="","",INDEX(Scoring!$W$5:$W$172,MATCH(58,Scoring!$AH$5:$AH$172,0)))</f>
        <v>53.8</v>
      </c>
      <c r="L62" s="11" t="str">
        <f aca="false">IF($A62="","",INDEX(Scoring!$AA$5:$AA$172,MATCH(58,Scoring!$AH$5:$AH$172,0)))</f>
        <v>Tier 2 – Priority</v>
      </c>
      <c r="M62" s="13" t="str">
        <f aca="false">IF($A62="","",INDEX(Scoring!$AB$5:$AB$172,MATCH(58,Scoring!$AH$5:$AH$172,0)))</f>
        <v>Strengths: Employment after training 5/5, Specialization 4/5, Time since training 4/5. Data Science &amp; AI (T5) track, cohort 2024; 3 months to outcome. Weak on: Promotion, Career transition.</v>
      </c>
      <c r="N62" s="13" t="str">
        <f aca="false">IF($A62="","",INDEX(Scoring!$AD$5:$AD$172,MATCH(58,Scoring!$AH$5:$AH$172,0)))</f>
        <v>Clear draft quote with graduate; Add employer logo</v>
      </c>
      <c r="O62" s="10" t="str">
        <f aca="false">IF($A62="","",INDEX(Scoring!$AE$5:$AE$172,MATCH(58,Scoring!$AH$5:$AH$172,0)))</f>
        <v>Draft</v>
      </c>
    </row>
    <row r="63" customFormat="false" ht="57.75" hidden="false" customHeight="true" outlineLevel="0" collapsed="false">
      <c r="A63" s="9" t="n">
        <f aca="false">IF(59&lt;=$C$3,59,"")</f>
        <v>59</v>
      </c>
      <c r="B63" s="10" t="n">
        <f aca="false">IF($A63="","",INDEX(Scoring!$Z$5:$Z$172,MATCH(59,Scoring!$AH$5:$AH$172,0)))</f>
        <v>133</v>
      </c>
      <c r="C63" s="11" t="str">
        <f aca="false">IF($A63="","",IF(INDEX(Scoring!$AF$5:$AF$172,MATCH(59,Scoring!$AH$5:$AH$172,0))="Yes",IF(INDEX(Scoring!$Z$5:$Z$172,MATCH(59,Scoring!$AH$5:$AH$172,0))&lt;=Weights!$C$19,"Top 30 + added","Added to queue"),"Top 30 by score"))</f>
        <v>Added to queue</v>
      </c>
      <c r="D63" s="10" t="str">
        <f aca="false">IF($A63="","",INDEX(Scoring!$A$5:$A$172,MATCH(59,Scoring!$AH$5:$AH$172,0)))</f>
        <v>yazeed-alshurify</v>
      </c>
      <c r="E63" s="12" t="str">
        <f aca="false">IF($A63="","",INDEX(Scoring!$B$5:$B$172,MATCH(59,Scoring!$AH$5:$AH$172,0)))</f>
        <v>يزيد الشريف</v>
      </c>
      <c r="F63" s="13" t="str">
        <f aca="false">IF($A63="","",INDEX(Scoring!$C$5:$C$172,MATCH(59,Scoring!$AH$5:$AH$172,0)))</f>
        <v>Yazeed Alshurify</v>
      </c>
      <c r="G63" s="13" t="str">
        <f aca="false">IF($A63="","",INDEX(Scoring!$D$5:$D$172,MATCH(59,Scoring!$AH$5:$AH$172,0)))</f>
        <v>شركة فتيل</v>
      </c>
      <c r="H63" s="10" t="str">
        <f aca="false">IF($A63="","",INDEX(Scoring!$F$5:$F$172,MATCH(59,Scoring!$AH$5:$AH$172,0)))</f>
        <v>Data Science &amp; AI (T5)</v>
      </c>
      <c r="I63" s="10" t="n">
        <f aca="false">IF($A63="","",INDEX(Scoring!$G$5:$G$172,MATCH(59,Scoring!$AH$5:$AH$172,0)))</f>
        <v>2024</v>
      </c>
      <c r="J63" s="10" t="str">
        <f aca="false">IF($A63="","",INDEX(Scoring!$H$5:$H$172,MATCH(59,Scoring!$AH$5:$AH$172,0)))</f>
        <v>n/a</v>
      </c>
      <c r="K63" s="14" t="n">
        <f aca="false">IF($A63="","",INDEX(Scoring!$W$5:$W$172,MATCH(59,Scoring!$AH$5:$AH$172,0)))</f>
        <v>52.4</v>
      </c>
      <c r="L63" s="11" t="str">
        <f aca="false">IF($A63="","",INDEX(Scoring!$AA$5:$AA$172,MATCH(59,Scoring!$AH$5:$AH$172,0)))</f>
        <v>Tier 2 – Priority</v>
      </c>
      <c r="M63" s="13" t="str">
        <f aca="false">IF($A63="","",INDEX(Scoring!$AB$5:$AB$172,MATCH(59,Scoring!$AH$5:$AH$172,0)))</f>
        <v>Strengths: Employment after training 5/5, Promotion 5/5, Story completeness 4.3/5. Data Science &amp; AI (T5) track, cohort 2024; timing dated by year only. Weak on: Career transition, Evidence quality.</v>
      </c>
      <c r="N63" s="13" t="str">
        <f aca="false">IF($A63="","",INDEX(Scoring!$AD$5:$AD$172,MATCH(59,Scoring!$AH$5:$AH$172,0)))</f>
        <v>Clear draft quote with graduate; Confirm month-level date</v>
      </c>
      <c r="O63" s="10" t="str">
        <f aca="false">IF($A63="","",INDEX(Scoring!$AE$5:$AE$172,MATCH(59,Scoring!$AH$5:$AH$172,0)))</f>
        <v>Draft</v>
      </c>
    </row>
    <row r="64" customFormat="false" ht="57.75" hidden="false" customHeight="true" outlineLevel="0" collapsed="false">
      <c r="A64" s="9" t="n">
        <f aca="false">IF(60&lt;=$C$3,60,"")</f>
        <v>60</v>
      </c>
      <c r="B64" s="10" t="n">
        <f aca="false">IF($A64="","",INDEX(Scoring!$Z$5:$Z$172,MATCH(60,Scoring!$AH$5:$AH$172,0)))</f>
        <v>153</v>
      </c>
      <c r="C64" s="11" t="str">
        <f aca="false">IF($A64="","",IF(INDEX(Scoring!$AF$5:$AF$172,MATCH(60,Scoring!$AH$5:$AH$172,0))="Yes",IF(INDEX(Scoring!$Z$5:$Z$172,MATCH(60,Scoring!$AH$5:$AH$172,0))&lt;=Weights!$C$19,"Top 30 + added","Added to queue"),"Top 30 by score"))</f>
        <v>Added to queue</v>
      </c>
      <c r="D64" s="10" t="str">
        <f aca="false">IF($A64="","",INDEX(Scoring!$A$5:$A$172,MATCH(60,Scoring!$AH$5:$AH$172,0)))</f>
        <v>nasser-alkuhili</v>
      </c>
      <c r="E64" s="12" t="str">
        <f aca="false">IF($A64="","",INDEX(Scoring!$B$5:$B$172,MATCH(60,Scoring!$AH$5:$AH$172,0)))</f>
        <v>ناصر فايز الكحيلي</v>
      </c>
      <c r="F64" s="13" t="str">
        <f aca="false">IF($A64="","",INDEX(Scoring!$C$5:$C$172,MATCH(60,Scoring!$AH$5:$AH$172,0)))</f>
        <v>Nasser Fayez Alkuhili</v>
      </c>
      <c r="G64" s="13" t="str">
        <f aca="false">IF($A64="","",INDEX(Scoring!$D$5:$D$172,MATCH(60,Scoring!$AH$5:$AH$172,0)))</f>
        <v>مصرف الراجحي</v>
      </c>
      <c r="H64" s="10" t="str">
        <f aca="false">IF($A64="","",INDEX(Scoring!$F$5:$F$172,MATCH(60,Scoring!$AH$5:$AH$172,0)))</f>
        <v>GenAI / NVIDIA</v>
      </c>
      <c r="I64" s="10" t="n">
        <f aca="false">IF($A64="","",INDEX(Scoring!$G$5:$G$172,MATCH(60,Scoring!$AH$5:$AH$172,0)))</f>
        <v>2024</v>
      </c>
      <c r="J64" s="10" t="str">
        <f aca="false">IF($A64="","",INDEX(Scoring!$H$5:$H$172,MATCH(60,Scoring!$AH$5:$AH$172,0)))</f>
        <v>n/a</v>
      </c>
      <c r="K64" s="14" t="n">
        <f aca="false">IF($A64="","",INDEX(Scoring!$W$5:$W$172,MATCH(60,Scoring!$AH$5:$AH$172,0)))</f>
        <v>61.8</v>
      </c>
      <c r="L64" s="11" t="str">
        <f aca="false">IF($A64="","",INDEX(Scoring!$AA$5:$AA$172,MATCH(60,Scoring!$AH$5:$AH$172,0)))</f>
        <v>Hold – resolve flag</v>
      </c>
      <c r="M64" s="13" t="str">
        <f aca="false">IF($A64="","",INDEX(Scoring!$AB$5:$AB$172,MATCH(60,Scoring!$AH$5:$AH$172,0)))</f>
        <v>Strengths: Employer / company profile 5/5, Employment after training 5/5, Specialization 5/5. GenAI / NVIDIA track, cohort 2024; timing dated by year only. Weak on: Promotion, Career transition. Held: Legacy gap flag (authorized exception).</v>
      </c>
      <c r="N64" s="13" t="str">
        <f aca="false">IF($A64="","",INDEX(Scoring!$AD$5:$AD$172,MATCH(60,Scoring!$AH$5:$AH$172,0)))</f>
        <v>Confirm month-level date</v>
      </c>
      <c r="O64" s="10" t="str">
        <f aca="false">IF($A64="","",INDEX(Scoring!$AE$5:$AE$172,MATCH(60,Scoring!$AH$5:$AH$172,0)))</f>
        <v>Verified</v>
      </c>
    </row>
    <row r="65" customFormat="false" ht="57.75" hidden="false" customHeight="true" outlineLevel="0" collapsed="false">
      <c r="A65" s="9" t="str">
        <f aca="false">IF(61&lt;=$C$3,61,"")</f>
        <v/>
      </c>
      <c r="B65" s="10" t="str">
        <f aca="false">IF($A65="","",INDEX(Scoring!$Z$5:$Z$172,MATCH(61,Scoring!$AH$5:$AH$172,0)))</f>
        <v/>
      </c>
      <c r="C65" s="11" t="str">
        <f aca="false">IF($A65="","",IF(INDEX(Scoring!$AF$5:$AF$172,MATCH(61,Scoring!$AH$5:$AH$172,0))="Yes",IF(INDEX(Scoring!$Z$5:$Z$172,MATCH(61,Scoring!$AH$5:$AH$172,0))&lt;=Weights!$C$19,"Top 30 + added","Added to queue"),"Top 30 by score"))</f>
        <v/>
      </c>
      <c r="D65" s="10" t="str">
        <f aca="false">IF($A65="","",INDEX(Scoring!$A$5:$A$172,MATCH(61,Scoring!$AH$5:$AH$172,0)))</f>
        <v/>
      </c>
      <c r="E65" s="12" t="str">
        <f aca="false">IF($A65="","",INDEX(Scoring!$B$5:$B$172,MATCH(61,Scoring!$AH$5:$AH$172,0)))</f>
        <v/>
      </c>
      <c r="F65" s="13" t="str">
        <f aca="false">IF($A65="","",INDEX(Scoring!$C$5:$C$172,MATCH(61,Scoring!$AH$5:$AH$172,0)))</f>
        <v/>
      </c>
      <c r="G65" s="13" t="str">
        <f aca="false">IF($A65="","",INDEX(Scoring!$D$5:$D$172,MATCH(61,Scoring!$AH$5:$AH$172,0)))</f>
        <v/>
      </c>
      <c r="H65" s="10" t="str">
        <f aca="false">IF($A65="","",INDEX(Scoring!$F$5:$F$172,MATCH(61,Scoring!$AH$5:$AH$172,0)))</f>
        <v/>
      </c>
      <c r="I65" s="10" t="str">
        <f aca="false">IF($A65="","",INDEX(Scoring!$G$5:$G$172,MATCH(61,Scoring!$AH$5:$AH$172,0)))</f>
        <v/>
      </c>
      <c r="J65" s="10" t="str">
        <f aca="false">IF($A65="","",INDEX(Scoring!$H$5:$H$172,MATCH(61,Scoring!$AH$5:$AH$172,0)))</f>
        <v/>
      </c>
      <c r="K65" s="14" t="str">
        <f aca="false">IF($A65="","",INDEX(Scoring!$W$5:$W$172,MATCH(61,Scoring!$AH$5:$AH$172,0)))</f>
        <v/>
      </c>
      <c r="L65" s="11" t="str">
        <f aca="false">IF($A65="","",INDEX(Scoring!$AA$5:$AA$172,MATCH(61,Scoring!$AH$5:$AH$172,0)))</f>
        <v/>
      </c>
      <c r="M65" s="13" t="str">
        <f aca="false">IF($A65="","",INDEX(Scoring!$AB$5:$AB$172,MATCH(61,Scoring!$AH$5:$AH$172,0)))</f>
        <v/>
      </c>
      <c r="N65" s="13" t="str">
        <f aca="false">IF($A65="","",INDEX(Scoring!$AD$5:$AD$172,MATCH(61,Scoring!$AH$5:$AH$172,0)))</f>
        <v/>
      </c>
      <c r="O65" s="10" t="str">
        <f aca="false">IF($A65="","",INDEX(Scoring!$AE$5:$AE$172,MATCH(61,Scoring!$AH$5:$AH$172,0)))</f>
        <v/>
      </c>
    </row>
    <row r="66" customFormat="false" ht="57.75" hidden="false" customHeight="true" outlineLevel="0" collapsed="false">
      <c r="A66" s="9" t="str">
        <f aca="false">IF(62&lt;=$C$3,62,"")</f>
        <v/>
      </c>
      <c r="B66" s="10" t="str">
        <f aca="false">IF($A66="","",INDEX(Scoring!$Z$5:$Z$172,MATCH(62,Scoring!$AH$5:$AH$172,0)))</f>
        <v/>
      </c>
      <c r="C66" s="11" t="str">
        <f aca="false">IF($A66="","",IF(INDEX(Scoring!$AF$5:$AF$172,MATCH(62,Scoring!$AH$5:$AH$172,0))="Yes",IF(INDEX(Scoring!$Z$5:$Z$172,MATCH(62,Scoring!$AH$5:$AH$172,0))&lt;=Weights!$C$19,"Top 30 + added","Added to queue"),"Top 30 by score"))</f>
        <v/>
      </c>
      <c r="D66" s="10" t="str">
        <f aca="false">IF($A66="","",INDEX(Scoring!$A$5:$A$172,MATCH(62,Scoring!$AH$5:$AH$172,0)))</f>
        <v/>
      </c>
      <c r="E66" s="12" t="str">
        <f aca="false">IF($A66="","",INDEX(Scoring!$B$5:$B$172,MATCH(62,Scoring!$AH$5:$AH$172,0)))</f>
        <v/>
      </c>
      <c r="F66" s="13" t="str">
        <f aca="false">IF($A66="","",INDEX(Scoring!$C$5:$C$172,MATCH(62,Scoring!$AH$5:$AH$172,0)))</f>
        <v/>
      </c>
      <c r="G66" s="13" t="str">
        <f aca="false">IF($A66="","",INDEX(Scoring!$D$5:$D$172,MATCH(62,Scoring!$AH$5:$AH$172,0)))</f>
        <v/>
      </c>
      <c r="H66" s="10" t="str">
        <f aca="false">IF($A66="","",INDEX(Scoring!$F$5:$F$172,MATCH(62,Scoring!$AH$5:$AH$172,0)))</f>
        <v/>
      </c>
      <c r="I66" s="10" t="str">
        <f aca="false">IF($A66="","",INDEX(Scoring!$G$5:$G$172,MATCH(62,Scoring!$AH$5:$AH$172,0)))</f>
        <v/>
      </c>
      <c r="J66" s="10" t="str">
        <f aca="false">IF($A66="","",INDEX(Scoring!$H$5:$H$172,MATCH(62,Scoring!$AH$5:$AH$172,0)))</f>
        <v/>
      </c>
      <c r="K66" s="14" t="str">
        <f aca="false">IF($A66="","",INDEX(Scoring!$W$5:$W$172,MATCH(62,Scoring!$AH$5:$AH$172,0)))</f>
        <v/>
      </c>
      <c r="L66" s="11" t="str">
        <f aca="false">IF($A66="","",INDEX(Scoring!$AA$5:$AA$172,MATCH(62,Scoring!$AH$5:$AH$172,0)))</f>
        <v/>
      </c>
      <c r="M66" s="13" t="str">
        <f aca="false">IF($A66="","",INDEX(Scoring!$AB$5:$AB$172,MATCH(62,Scoring!$AH$5:$AH$172,0)))</f>
        <v/>
      </c>
      <c r="N66" s="13" t="str">
        <f aca="false">IF($A66="","",INDEX(Scoring!$AD$5:$AD$172,MATCH(62,Scoring!$AH$5:$AH$172,0)))</f>
        <v/>
      </c>
      <c r="O66" s="10" t="str">
        <f aca="false">IF($A66="","",INDEX(Scoring!$AE$5:$AE$172,MATCH(62,Scoring!$AH$5:$AH$172,0)))</f>
        <v/>
      </c>
    </row>
    <row r="67" customFormat="false" ht="57.75" hidden="false" customHeight="true" outlineLevel="0" collapsed="false">
      <c r="A67" s="9" t="str">
        <f aca="false">IF(63&lt;=$C$3,63,"")</f>
        <v/>
      </c>
      <c r="B67" s="10" t="str">
        <f aca="false">IF($A67="","",INDEX(Scoring!$Z$5:$Z$172,MATCH(63,Scoring!$AH$5:$AH$172,0)))</f>
        <v/>
      </c>
      <c r="C67" s="11" t="str">
        <f aca="false">IF($A67="","",IF(INDEX(Scoring!$AF$5:$AF$172,MATCH(63,Scoring!$AH$5:$AH$172,0))="Yes",IF(INDEX(Scoring!$Z$5:$Z$172,MATCH(63,Scoring!$AH$5:$AH$172,0))&lt;=Weights!$C$19,"Top 30 + added","Added to queue"),"Top 30 by score"))</f>
        <v/>
      </c>
      <c r="D67" s="10" t="str">
        <f aca="false">IF($A67="","",INDEX(Scoring!$A$5:$A$172,MATCH(63,Scoring!$AH$5:$AH$172,0)))</f>
        <v/>
      </c>
      <c r="E67" s="12" t="str">
        <f aca="false">IF($A67="","",INDEX(Scoring!$B$5:$B$172,MATCH(63,Scoring!$AH$5:$AH$172,0)))</f>
        <v/>
      </c>
      <c r="F67" s="13" t="str">
        <f aca="false">IF($A67="","",INDEX(Scoring!$C$5:$C$172,MATCH(63,Scoring!$AH$5:$AH$172,0)))</f>
        <v/>
      </c>
      <c r="G67" s="13" t="str">
        <f aca="false">IF($A67="","",INDEX(Scoring!$D$5:$D$172,MATCH(63,Scoring!$AH$5:$AH$172,0)))</f>
        <v/>
      </c>
      <c r="H67" s="10" t="str">
        <f aca="false">IF($A67="","",INDEX(Scoring!$F$5:$F$172,MATCH(63,Scoring!$AH$5:$AH$172,0)))</f>
        <v/>
      </c>
      <c r="I67" s="10" t="str">
        <f aca="false">IF($A67="","",INDEX(Scoring!$G$5:$G$172,MATCH(63,Scoring!$AH$5:$AH$172,0)))</f>
        <v/>
      </c>
      <c r="J67" s="10" t="str">
        <f aca="false">IF($A67="","",INDEX(Scoring!$H$5:$H$172,MATCH(63,Scoring!$AH$5:$AH$172,0)))</f>
        <v/>
      </c>
      <c r="K67" s="14" t="str">
        <f aca="false">IF($A67="","",INDEX(Scoring!$W$5:$W$172,MATCH(63,Scoring!$AH$5:$AH$172,0)))</f>
        <v/>
      </c>
      <c r="L67" s="11" t="str">
        <f aca="false">IF($A67="","",INDEX(Scoring!$AA$5:$AA$172,MATCH(63,Scoring!$AH$5:$AH$172,0)))</f>
        <v/>
      </c>
      <c r="M67" s="13" t="str">
        <f aca="false">IF($A67="","",INDEX(Scoring!$AB$5:$AB$172,MATCH(63,Scoring!$AH$5:$AH$172,0)))</f>
        <v/>
      </c>
      <c r="N67" s="13" t="str">
        <f aca="false">IF($A67="","",INDEX(Scoring!$AD$5:$AD$172,MATCH(63,Scoring!$AH$5:$AH$172,0)))</f>
        <v/>
      </c>
      <c r="O67" s="10" t="str">
        <f aca="false">IF($A67="","",INDEX(Scoring!$AE$5:$AE$172,MATCH(63,Scoring!$AH$5:$AH$172,0)))</f>
        <v/>
      </c>
    </row>
    <row r="68" customFormat="false" ht="57.75" hidden="false" customHeight="true" outlineLevel="0" collapsed="false">
      <c r="A68" s="9" t="str">
        <f aca="false">IF(64&lt;=$C$3,64,"")</f>
        <v/>
      </c>
      <c r="B68" s="10" t="str">
        <f aca="false">IF($A68="","",INDEX(Scoring!$Z$5:$Z$172,MATCH(64,Scoring!$AH$5:$AH$172,0)))</f>
        <v/>
      </c>
      <c r="C68" s="11" t="str">
        <f aca="false">IF($A68="","",IF(INDEX(Scoring!$AF$5:$AF$172,MATCH(64,Scoring!$AH$5:$AH$172,0))="Yes",IF(INDEX(Scoring!$Z$5:$Z$172,MATCH(64,Scoring!$AH$5:$AH$172,0))&lt;=Weights!$C$19,"Top 30 + added","Added to queue"),"Top 30 by score"))</f>
        <v/>
      </c>
      <c r="D68" s="10" t="str">
        <f aca="false">IF($A68="","",INDEX(Scoring!$A$5:$A$172,MATCH(64,Scoring!$AH$5:$AH$172,0)))</f>
        <v/>
      </c>
      <c r="E68" s="12" t="str">
        <f aca="false">IF($A68="","",INDEX(Scoring!$B$5:$B$172,MATCH(64,Scoring!$AH$5:$AH$172,0)))</f>
        <v/>
      </c>
      <c r="F68" s="13" t="str">
        <f aca="false">IF($A68="","",INDEX(Scoring!$C$5:$C$172,MATCH(64,Scoring!$AH$5:$AH$172,0)))</f>
        <v/>
      </c>
      <c r="G68" s="13" t="str">
        <f aca="false">IF($A68="","",INDEX(Scoring!$D$5:$D$172,MATCH(64,Scoring!$AH$5:$AH$172,0)))</f>
        <v/>
      </c>
      <c r="H68" s="10" t="str">
        <f aca="false">IF($A68="","",INDEX(Scoring!$F$5:$F$172,MATCH(64,Scoring!$AH$5:$AH$172,0)))</f>
        <v/>
      </c>
      <c r="I68" s="10" t="str">
        <f aca="false">IF($A68="","",INDEX(Scoring!$G$5:$G$172,MATCH(64,Scoring!$AH$5:$AH$172,0)))</f>
        <v/>
      </c>
      <c r="J68" s="10" t="str">
        <f aca="false">IF($A68="","",INDEX(Scoring!$H$5:$H$172,MATCH(64,Scoring!$AH$5:$AH$172,0)))</f>
        <v/>
      </c>
      <c r="K68" s="14" t="str">
        <f aca="false">IF($A68="","",INDEX(Scoring!$W$5:$W$172,MATCH(64,Scoring!$AH$5:$AH$172,0)))</f>
        <v/>
      </c>
      <c r="L68" s="11" t="str">
        <f aca="false">IF($A68="","",INDEX(Scoring!$AA$5:$AA$172,MATCH(64,Scoring!$AH$5:$AH$172,0)))</f>
        <v/>
      </c>
      <c r="M68" s="13" t="str">
        <f aca="false">IF($A68="","",INDEX(Scoring!$AB$5:$AB$172,MATCH(64,Scoring!$AH$5:$AH$172,0)))</f>
        <v/>
      </c>
      <c r="N68" s="13" t="str">
        <f aca="false">IF($A68="","",INDEX(Scoring!$AD$5:$AD$172,MATCH(64,Scoring!$AH$5:$AH$172,0)))</f>
        <v/>
      </c>
      <c r="O68" s="10" t="str">
        <f aca="false">IF($A68="","",INDEX(Scoring!$AE$5:$AE$172,MATCH(64,Scoring!$AH$5:$AH$172,0)))</f>
        <v/>
      </c>
    </row>
    <row r="69" customFormat="false" ht="57.75" hidden="false" customHeight="true" outlineLevel="0" collapsed="false">
      <c r="A69" s="9" t="str">
        <f aca="false">IF(65&lt;=$C$3,65,"")</f>
        <v/>
      </c>
      <c r="B69" s="10" t="str">
        <f aca="false">IF($A69="","",INDEX(Scoring!$Z$5:$Z$172,MATCH(65,Scoring!$AH$5:$AH$172,0)))</f>
        <v/>
      </c>
      <c r="C69" s="11" t="str">
        <f aca="false">IF($A69="","",IF(INDEX(Scoring!$AF$5:$AF$172,MATCH(65,Scoring!$AH$5:$AH$172,0))="Yes",IF(INDEX(Scoring!$Z$5:$Z$172,MATCH(65,Scoring!$AH$5:$AH$172,0))&lt;=Weights!$C$19,"Top 30 + added","Added to queue"),"Top 30 by score"))</f>
        <v/>
      </c>
      <c r="D69" s="10" t="str">
        <f aca="false">IF($A69="","",INDEX(Scoring!$A$5:$A$172,MATCH(65,Scoring!$AH$5:$AH$172,0)))</f>
        <v/>
      </c>
      <c r="E69" s="12" t="str">
        <f aca="false">IF($A69="","",INDEX(Scoring!$B$5:$B$172,MATCH(65,Scoring!$AH$5:$AH$172,0)))</f>
        <v/>
      </c>
      <c r="F69" s="13" t="str">
        <f aca="false">IF($A69="","",INDEX(Scoring!$C$5:$C$172,MATCH(65,Scoring!$AH$5:$AH$172,0)))</f>
        <v/>
      </c>
      <c r="G69" s="13" t="str">
        <f aca="false">IF($A69="","",INDEX(Scoring!$D$5:$D$172,MATCH(65,Scoring!$AH$5:$AH$172,0)))</f>
        <v/>
      </c>
      <c r="H69" s="10" t="str">
        <f aca="false">IF($A69="","",INDEX(Scoring!$F$5:$F$172,MATCH(65,Scoring!$AH$5:$AH$172,0)))</f>
        <v/>
      </c>
      <c r="I69" s="10" t="str">
        <f aca="false">IF($A69="","",INDEX(Scoring!$G$5:$G$172,MATCH(65,Scoring!$AH$5:$AH$172,0)))</f>
        <v/>
      </c>
      <c r="J69" s="10" t="str">
        <f aca="false">IF($A69="","",INDEX(Scoring!$H$5:$H$172,MATCH(65,Scoring!$AH$5:$AH$172,0)))</f>
        <v/>
      </c>
      <c r="K69" s="14" t="str">
        <f aca="false">IF($A69="","",INDEX(Scoring!$W$5:$W$172,MATCH(65,Scoring!$AH$5:$AH$172,0)))</f>
        <v/>
      </c>
      <c r="L69" s="11" t="str">
        <f aca="false">IF($A69="","",INDEX(Scoring!$AA$5:$AA$172,MATCH(65,Scoring!$AH$5:$AH$172,0)))</f>
        <v/>
      </c>
      <c r="M69" s="13" t="str">
        <f aca="false">IF($A69="","",INDEX(Scoring!$AB$5:$AB$172,MATCH(65,Scoring!$AH$5:$AH$172,0)))</f>
        <v/>
      </c>
      <c r="N69" s="13" t="str">
        <f aca="false">IF($A69="","",INDEX(Scoring!$AD$5:$AD$172,MATCH(65,Scoring!$AH$5:$AH$172,0)))</f>
        <v/>
      </c>
      <c r="O69" s="10" t="str">
        <f aca="false">IF($A69="","",INDEX(Scoring!$AE$5:$AE$172,MATCH(65,Scoring!$AH$5:$AH$172,0)))</f>
        <v/>
      </c>
    </row>
    <row r="70" customFormat="false" ht="57.75" hidden="false" customHeight="true" outlineLevel="0" collapsed="false">
      <c r="A70" s="9" t="str">
        <f aca="false">IF(66&lt;=$C$3,66,"")</f>
        <v/>
      </c>
      <c r="B70" s="10" t="str">
        <f aca="false">IF($A70="","",INDEX(Scoring!$Z$5:$Z$172,MATCH(66,Scoring!$AH$5:$AH$172,0)))</f>
        <v/>
      </c>
      <c r="C70" s="11" t="str">
        <f aca="false">IF($A70="","",IF(INDEX(Scoring!$AF$5:$AF$172,MATCH(66,Scoring!$AH$5:$AH$172,0))="Yes",IF(INDEX(Scoring!$Z$5:$Z$172,MATCH(66,Scoring!$AH$5:$AH$172,0))&lt;=Weights!$C$19,"Top 30 + added","Added to queue"),"Top 30 by score"))</f>
        <v/>
      </c>
      <c r="D70" s="10" t="str">
        <f aca="false">IF($A70="","",INDEX(Scoring!$A$5:$A$172,MATCH(66,Scoring!$AH$5:$AH$172,0)))</f>
        <v/>
      </c>
      <c r="E70" s="12" t="str">
        <f aca="false">IF($A70="","",INDEX(Scoring!$B$5:$B$172,MATCH(66,Scoring!$AH$5:$AH$172,0)))</f>
        <v/>
      </c>
      <c r="F70" s="13" t="str">
        <f aca="false">IF($A70="","",INDEX(Scoring!$C$5:$C$172,MATCH(66,Scoring!$AH$5:$AH$172,0)))</f>
        <v/>
      </c>
      <c r="G70" s="13" t="str">
        <f aca="false">IF($A70="","",INDEX(Scoring!$D$5:$D$172,MATCH(66,Scoring!$AH$5:$AH$172,0)))</f>
        <v/>
      </c>
      <c r="H70" s="10" t="str">
        <f aca="false">IF($A70="","",INDEX(Scoring!$F$5:$F$172,MATCH(66,Scoring!$AH$5:$AH$172,0)))</f>
        <v/>
      </c>
      <c r="I70" s="10" t="str">
        <f aca="false">IF($A70="","",INDEX(Scoring!$G$5:$G$172,MATCH(66,Scoring!$AH$5:$AH$172,0)))</f>
        <v/>
      </c>
      <c r="J70" s="10" t="str">
        <f aca="false">IF($A70="","",INDEX(Scoring!$H$5:$H$172,MATCH(66,Scoring!$AH$5:$AH$172,0)))</f>
        <v/>
      </c>
      <c r="K70" s="14" t="str">
        <f aca="false">IF($A70="","",INDEX(Scoring!$W$5:$W$172,MATCH(66,Scoring!$AH$5:$AH$172,0)))</f>
        <v/>
      </c>
      <c r="L70" s="11" t="str">
        <f aca="false">IF($A70="","",INDEX(Scoring!$AA$5:$AA$172,MATCH(66,Scoring!$AH$5:$AH$172,0)))</f>
        <v/>
      </c>
      <c r="M70" s="13" t="str">
        <f aca="false">IF($A70="","",INDEX(Scoring!$AB$5:$AB$172,MATCH(66,Scoring!$AH$5:$AH$172,0)))</f>
        <v/>
      </c>
      <c r="N70" s="13" t="str">
        <f aca="false">IF($A70="","",INDEX(Scoring!$AD$5:$AD$172,MATCH(66,Scoring!$AH$5:$AH$172,0)))</f>
        <v/>
      </c>
      <c r="O70" s="10" t="str">
        <f aca="false">IF($A70="","",INDEX(Scoring!$AE$5:$AE$172,MATCH(66,Scoring!$AH$5:$AH$172,0)))</f>
        <v/>
      </c>
    </row>
    <row r="71" customFormat="false" ht="57.75" hidden="false" customHeight="true" outlineLevel="0" collapsed="false">
      <c r="A71" s="9" t="str">
        <f aca="false">IF(67&lt;=$C$3,67,"")</f>
        <v/>
      </c>
      <c r="B71" s="10" t="str">
        <f aca="false">IF($A71="","",INDEX(Scoring!$Z$5:$Z$172,MATCH(67,Scoring!$AH$5:$AH$172,0)))</f>
        <v/>
      </c>
      <c r="C71" s="11" t="str">
        <f aca="false">IF($A71="","",IF(INDEX(Scoring!$AF$5:$AF$172,MATCH(67,Scoring!$AH$5:$AH$172,0))="Yes",IF(INDEX(Scoring!$Z$5:$Z$172,MATCH(67,Scoring!$AH$5:$AH$172,0))&lt;=Weights!$C$19,"Top 30 + added","Added to queue"),"Top 30 by score"))</f>
        <v/>
      </c>
      <c r="D71" s="10" t="str">
        <f aca="false">IF($A71="","",INDEX(Scoring!$A$5:$A$172,MATCH(67,Scoring!$AH$5:$AH$172,0)))</f>
        <v/>
      </c>
      <c r="E71" s="12" t="str">
        <f aca="false">IF($A71="","",INDEX(Scoring!$B$5:$B$172,MATCH(67,Scoring!$AH$5:$AH$172,0)))</f>
        <v/>
      </c>
      <c r="F71" s="13" t="str">
        <f aca="false">IF($A71="","",INDEX(Scoring!$C$5:$C$172,MATCH(67,Scoring!$AH$5:$AH$172,0)))</f>
        <v/>
      </c>
      <c r="G71" s="13" t="str">
        <f aca="false">IF($A71="","",INDEX(Scoring!$D$5:$D$172,MATCH(67,Scoring!$AH$5:$AH$172,0)))</f>
        <v/>
      </c>
      <c r="H71" s="10" t="str">
        <f aca="false">IF($A71="","",INDEX(Scoring!$F$5:$F$172,MATCH(67,Scoring!$AH$5:$AH$172,0)))</f>
        <v/>
      </c>
      <c r="I71" s="10" t="str">
        <f aca="false">IF($A71="","",INDEX(Scoring!$G$5:$G$172,MATCH(67,Scoring!$AH$5:$AH$172,0)))</f>
        <v/>
      </c>
      <c r="J71" s="10" t="str">
        <f aca="false">IF($A71="","",INDEX(Scoring!$H$5:$H$172,MATCH(67,Scoring!$AH$5:$AH$172,0)))</f>
        <v/>
      </c>
      <c r="K71" s="14" t="str">
        <f aca="false">IF($A71="","",INDEX(Scoring!$W$5:$W$172,MATCH(67,Scoring!$AH$5:$AH$172,0)))</f>
        <v/>
      </c>
      <c r="L71" s="11" t="str">
        <f aca="false">IF($A71="","",INDEX(Scoring!$AA$5:$AA$172,MATCH(67,Scoring!$AH$5:$AH$172,0)))</f>
        <v/>
      </c>
      <c r="M71" s="13" t="str">
        <f aca="false">IF($A71="","",INDEX(Scoring!$AB$5:$AB$172,MATCH(67,Scoring!$AH$5:$AH$172,0)))</f>
        <v/>
      </c>
      <c r="N71" s="13" t="str">
        <f aca="false">IF($A71="","",INDEX(Scoring!$AD$5:$AD$172,MATCH(67,Scoring!$AH$5:$AH$172,0)))</f>
        <v/>
      </c>
      <c r="O71" s="10" t="str">
        <f aca="false">IF($A71="","",INDEX(Scoring!$AE$5:$AE$172,MATCH(67,Scoring!$AH$5:$AH$172,0)))</f>
        <v/>
      </c>
    </row>
    <row r="72" customFormat="false" ht="57.75" hidden="false" customHeight="true" outlineLevel="0" collapsed="false">
      <c r="A72" s="9" t="str">
        <f aca="false">IF(68&lt;=$C$3,68,"")</f>
        <v/>
      </c>
      <c r="B72" s="10" t="str">
        <f aca="false">IF($A72="","",INDEX(Scoring!$Z$5:$Z$172,MATCH(68,Scoring!$AH$5:$AH$172,0)))</f>
        <v/>
      </c>
      <c r="C72" s="11" t="str">
        <f aca="false">IF($A72="","",IF(INDEX(Scoring!$AF$5:$AF$172,MATCH(68,Scoring!$AH$5:$AH$172,0))="Yes",IF(INDEX(Scoring!$Z$5:$Z$172,MATCH(68,Scoring!$AH$5:$AH$172,0))&lt;=Weights!$C$19,"Top 30 + added","Added to queue"),"Top 30 by score"))</f>
        <v/>
      </c>
      <c r="D72" s="10" t="str">
        <f aca="false">IF($A72="","",INDEX(Scoring!$A$5:$A$172,MATCH(68,Scoring!$AH$5:$AH$172,0)))</f>
        <v/>
      </c>
      <c r="E72" s="12" t="str">
        <f aca="false">IF($A72="","",INDEX(Scoring!$B$5:$B$172,MATCH(68,Scoring!$AH$5:$AH$172,0)))</f>
        <v/>
      </c>
      <c r="F72" s="13" t="str">
        <f aca="false">IF($A72="","",INDEX(Scoring!$C$5:$C$172,MATCH(68,Scoring!$AH$5:$AH$172,0)))</f>
        <v/>
      </c>
      <c r="G72" s="13" t="str">
        <f aca="false">IF($A72="","",INDEX(Scoring!$D$5:$D$172,MATCH(68,Scoring!$AH$5:$AH$172,0)))</f>
        <v/>
      </c>
      <c r="H72" s="10" t="str">
        <f aca="false">IF($A72="","",INDEX(Scoring!$F$5:$F$172,MATCH(68,Scoring!$AH$5:$AH$172,0)))</f>
        <v/>
      </c>
      <c r="I72" s="10" t="str">
        <f aca="false">IF($A72="","",INDEX(Scoring!$G$5:$G$172,MATCH(68,Scoring!$AH$5:$AH$172,0)))</f>
        <v/>
      </c>
      <c r="J72" s="10" t="str">
        <f aca="false">IF($A72="","",INDEX(Scoring!$H$5:$H$172,MATCH(68,Scoring!$AH$5:$AH$172,0)))</f>
        <v/>
      </c>
      <c r="K72" s="14" t="str">
        <f aca="false">IF($A72="","",INDEX(Scoring!$W$5:$W$172,MATCH(68,Scoring!$AH$5:$AH$172,0)))</f>
        <v/>
      </c>
      <c r="L72" s="11" t="str">
        <f aca="false">IF($A72="","",INDEX(Scoring!$AA$5:$AA$172,MATCH(68,Scoring!$AH$5:$AH$172,0)))</f>
        <v/>
      </c>
      <c r="M72" s="13" t="str">
        <f aca="false">IF($A72="","",INDEX(Scoring!$AB$5:$AB$172,MATCH(68,Scoring!$AH$5:$AH$172,0)))</f>
        <v/>
      </c>
      <c r="N72" s="13" t="str">
        <f aca="false">IF($A72="","",INDEX(Scoring!$AD$5:$AD$172,MATCH(68,Scoring!$AH$5:$AH$172,0)))</f>
        <v/>
      </c>
      <c r="O72" s="10" t="str">
        <f aca="false">IF($A72="","",INDEX(Scoring!$AE$5:$AE$172,MATCH(68,Scoring!$AH$5:$AH$172,0)))</f>
        <v/>
      </c>
    </row>
    <row r="73" customFormat="false" ht="57.75" hidden="false" customHeight="true" outlineLevel="0" collapsed="false">
      <c r="A73" s="9" t="str">
        <f aca="false">IF(69&lt;=$C$3,69,"")</f>
        <v/>
      </c>
      <c r="B73" s="10" t="str">
        <f aca="false">IF($A73="","",INDEX(Scoring!$Z$5:$Z$172,MATCH(69,Scoring!$AH$5:$AH$172,0)))</f>
        <v/>
      </c>
      <c r="C73" s="11" t="str">
        <f aca="false">IF($A73="","",IF(INDEX(Scoring!$AF$5:$AF$172,MATCH(69,Scoring!$AH$5:$AH$172,0))="Yes",IF(INDEX(Scoring!$Z$5:$Z$172,MATCH(69,Scoring!$AH$5:$AH$172,0))&lt;=Weights!$C$19,"Top 30 + added","Added to queue"),"Top 30 by score"))</f>
        <v/>
      </c>
      <c r="D73" s="10" t="str">
        <f aca="false">IF($A73="","",INDEX(Scoring!$A$5:$A$172,MATCH(69,Scoring!$AH$5:$AH$172,0)))</f>
        <v/>
      </c>
      <c r="E73" s="12" t="str">
        <f aca="false">IF($A73="","",INDEX(Scoring!$B$5:$B$172,MATCH(69,Scoring!$AH$5:$AH$172,0)))</f>
        <v/>
      </c>
      <c r="F73" s="13" t="str">
        <f aca="false">IF($A73="","",INDEX(Scoring!$C$5:$C$172,MATCH(69,Scoring!$AH$5:$AH$172,0)))</f>
        <v/>
      </c>
      <c r="G73" s="13" t="str">
        <f aca="false">IF($A73="","",INDEX(Scoring!$D$5:$D$172,MATCH(69,Scoring!$AH$5:$AH$172,0)))</f>
        <v/>
      </c>
      <c r="H73" s="10" t="str">
        <f aca="false">IF($A73="","",INDEX(Scoring!$F$5:$F$172,MATCH(69,Scoring!$AH$5:$AH$172,0)))</f>
        <v/>
      </c>
      <c r="I73" s="10" t="str">
        <f aca="false">IF($A73="","",INDEX(Scoring!$G$5:$G$172,MATCH(69,Scoring!$AH$5:$AH$172,0)))</f>
        <v/>
      </c>
      <c r="J73" s="10" t="str">
        <f aca="false">IF($A73="","",INDEX(Scoring!$H$5:$H$172,MATCH(69,Scoring!$AH$5:$AH$172,0)))</f>
        <v/>
      </c>
      <c r="K73" s="14" t="str">
        <f aca="false">IF($A73="","",INDEX(Scoring!$W$5:$W$172,MATCH(69,Scoring!$AH$5:$AH$172,0)))</f>
        <v/>
      </c>
      <c r="L73" s="11" t="str">
        <f aca="false">IF($A73="","",INDEX(Scoring!$AA$5:$AA$172,MATCH(69,Scoring!$AH$5:$AH$172,0)))</f>
        <v/>
      </c>
      <c r="M73" s="13" t="str">
        <f aca="false">IF($A73="","",INDEX(Scoring!$AB$5:$AB$172,MATCH(69,Scoring!$AH$5:$AH$172,0)))</f>
        <v/>
      </c>
      <c r="N73" s="13" t="str">
        <f aca="false">IF($A73="","",INDEX(Scoring!$AD$5:$AD$172,MATCH(69,Scoring!$AH$5:$AH$172,0)))</f>
        <v/>
      </c>
      <c r="O73" s="10" t="str">
        <f aca="false">IF($A73="","",INDEX(Scoring!$AE$5:$AE$172,MATCH(69,Scoring!$AH$5:$AH$172,0)))</f>
        <v/>
      </c>
    </row>
    <row r="74" customFormat="false" ht="57.75" hidden="false" customHeight="true" outlineLevel="0" collapsed="false">
      <c r="A74" s="9" t="str">
        <f aca="false">IF(70&lt;=$C$3,70,"")</f>
        <v/>
      </c>
      <c r="B74" s="10" t="str">
        <f aca="false">IF($A74="","",INDEX(Scoring!$Z$5:$Z$172,MATCH(70,Scoring!$AH$5:$AH$172,0)))</f>
        <v/>
      </c>
      <c r="C74" s="11" t="str">
        <f aca="false">IF($A74="","",IF(INDEX(Scoring!$AF$5:$AF$172,MATCH(70,Scoring!$AH$5:$AH$172,0))="Yes",IF(INDEX(Scoring!$Z$5:$Z$172,MATCH(70,Scoring!$AH$5:$AH$172,0))&lt;=Weights!$C$19,"Top 30 + added","Added to queue"),"Top 30 by score"))</f>
        <v/>
      </c>
      <c r="D74" s="10" t="str">
        <f aca="false">IF($A74="","",INDEX(Scoring!$A$5:$A$172,MATCH(70,Scoring!$AH$5:$AH$172,0)))</f>
        <v/>
      </c>
      <c r="E74" s="12" t="str">
        <f aca="false">IF($A74="","",INDEX(Scoring!$B$5:$B$172,MATCH(70,Scoring!$AH$5:$AH$172,0)))</f>
        <v/>
      </c>
      <c r="F74" s="13" t="str">
        <f aca="false">IF($A74="","",INDEX(Scoring!$C$5:$C$172,MATCH(70,Scoring!$AH$5:$AH$172,0)))</f>
        <v/>
      </c>
      <c r="G74" s="13" t="str">
        <f aca="false">IF($A74="","",INDEX(Scoring!$D$5:$D$172,MATCH(70,Scoring!$AH$5:$AH$172,0)))</f>
        <v/>
      </c>
      <c r="H74" s="10" t="str">
        <f aca="false">IF($A74="","",INDEX(Scoring!$F$5:$F$172,MATCH(70,Scoring!$AH$5:$AH$172,0)))</f>
        <v/>
      </c>
      <c r="I74" s="10" t="str">
        <f aca="false">IF($A74="","",INDEX(Scoring!$G$5:$G$172,MATCH(70,Scoring!$AH$5:$AH$172,0)))</f>
        <v/>
      </c>
      <c r="J74" s="10" t="str">
        <f aca="false">IF($A74="","",INDEX(Scoring!$H$5:$H$172,MATCH(70,Scoring!$AH$5:$AH$172,0)))</f>
        <v/>
      </c>
      <c r="K74" s="14" t="str">
        <f aca="false">IF($A74="","",INDEX(Scoring!$W$5:$W$172,MATCH(70,Scoring!$AH$5:$AH$172,0)))</f>
        <v/>
      </c>
      <c r="L74" s="11" t="str">
        <f aca="false">IF($A74="","",INDEX(Scoring!$AA$5:$AA$172,MATCH(70,Scoring!$AH$5:$AH$172,0)))</f>
        <v/>
      </c>
      <c r="M74" s="13" t="str">
        <f aca="false">IF($A74="","",INDEX(Scoring!$AB$5:$AB$172,MATCH(70,Scoring!$AH$5:$AH$172,0)))</f>
        <v/>
      </c>
      <c r="N74" s="13" t="str">
        <f aca="false">IF($A74="","",INDEX(Scoring!$AD$5:$AD$172,MATCH(70,Scoring!$AH$5:$AH$172,0)))</f>
        <v/>
      </c>
      <c r="O74" s="10" t="str">
        <f aca="false">IF($A74="","",INDEX(Scoring!$AE$5:$AE$172,MATCH(70,Scoring!$AH$5:$AH$172,0)))</f>
        <v/>
      </c>
    </row>
    <row r="75" customFormat="false" ht="57.75" hidden="false" customHeight="true" outlineLevel="0" collapsed="false">
      <c r="A75" s="9" t="str">
        <f aca="false">IF(71&lt;=$C$3,71,"")</f>
        <v/>
      </c>
      <c r="B75" s="10" t="str">
        <f aca="false">IF($A75="","",INDEX(Scoring!$Z$5:$Z$172,MATCH(71,Scoring!$AH$5:$AH$172,0)))</f>
        <v/>
      </c>
      <c r="C75" s="11" t="str">
        <f aca="false">IF($A75="","",IF(INDEX(Scoring!$AF$5:$AF$172,MATCH(71,Scoring!$AH$5:$AH$172,0))="Yes",IF(INDEX(Scoring!$Z$5:$Z$172,MATCH(71,Scoring!$AH$5:$AH$172,0))&lt;=Weights!$C$19,"Top 30 + added","Added to queue"),"Top 30 by score"))</f>
        <v/>
      </c>
      <c r="D75" s="10" t="str">
        <f aca="false">IF($A75="","",INDEX(Scoring!$A$5:$A$172,MATCH(71,Scoring!$AH$5:$AH$172,0)))</f>
        <v/>
      </c>
      <c r="E75" s="12" t="str">
        <f aca="false">IF($A75="","",INDEX(Scoring!$B$5:$B$172,MATCH(71,Scoring!$AH$5:$AH$172,0)))</f>
        <v/>
      </c>
      <c r="F75" s="13" t="str">
        <f aca="false">IF($A75="","",INDEX(Scoring!$C$5:$C$172,MATCH(71,Scoring!$AH$5:$AH$172,0)))</f>
        <v/>
      </c>
      <c r="G75" s="13" t="str">
        <f aca="false">IF($A75="","",INDEX(Scoring!$D$5:$D$172,MATCH(71,Scoring!$AH$5:$AH$172,0)))</f>
        <v/>
      </c>
      <c r="H75" s="10" t="str">
        <f aca="false">IF($A75="","",INDEX(Scoring!$F$5:$F$172,MATCH(71,Scoring!$AH$5:$AH$172,0)))</f>
        <v/>
      </c>
      <c r="I75" s="10" t="str">
        <f aca="false">IF($A75="","",INDEX(Scoring!$G$5:$G$172,MATCH(71,Scoring!$AH$5:$AH$172,0)))</f>
        <v/>
      </c>
      <c r="J75" s="10" t="str">
        <f aca="false">IF($A75="","",INDEX(Scoring!$H$5:$H$172,MATCH(71,Scoring!$AH$5:$AH$172,0)))</f>
        <v/>
      </c>
      <c r="K75" s="14" t="str">
        <f aca="false">IF($A75="","",INDEX(Scoring!$W$5:$W$172,MATCH(71,Scoring!$AH$5:$AH$172,0)))</f>
        <v/>
      </c>
      <c r="L75" s="11" t="str">
        <f aca="false">IF($A75="","",INDEX(Scoring!$AA$5:$AA$172,MATCH(71,Scoring!$AH$5:$AH$172,0)))</f>
        <v/>
      </c>
      <c r="M75" s="13" t="str">
        <f aca="false">IF($A75="","",INDEX(Scoring!$AB$5:$AB$172,MATCH(71,Scoring!$AH$5:$AH$172,0)))</f>
        <v/>
      </c>
      <c r="N75" s="13" t="str">
        <f aca="false">IF($A75="","",INDEX(Scoring!$AD$5:$AD$172,MATCH(71,Scoring!$AH$5:$AH$172,0)))</f>
        <v/>
      </c>
      <c r="O75" s="10" t="str">
        <f aca="false">IF($A75="","",INDEX(Scoring!$AE$5:$AE$172,MATCH(71,Scoring!$AH$5:$AH$172,0)))</f>
        <v/>
      </c>
    </row>
    <row r="76" customFormat="false" ht="57.75" hidden="false" customHeight="true" outlineLevel="0" collapsed="false">
      <c r="A76" s="9" t="str">
        <f aca="false">IF(72&lt;=$C$3,72,"")</f>
        <v/>
      </c>
      <c r="B76" s="10" t="str">
        <f aca="false">IF($A76="","",INDEX(Scoring!$Z$5:$Z$172,MATCH(72,Scoring!$AH$5:$AH$172,0)))</f>
        <v/>
      </c>
      <c r="C76" s="11" t="str">
        <f aca="false">IF($A76="","",IF(INDEX(Scoring!$AF$5:$AF$172,MATCH(72,Scoring!$AH$5:$AH$172,0))="Yes",IF(INDEX(Scoring!$Z$5:$Z$172,MATCH(72,Scoring!$AH$5:$AH$172,0))&lt;=Weights!$C$19,"Top 30 + added","Added to queue"),"Top 30 by score"))</f>
        <v/>
      </c>
      <c r="D76" s="10" t="str">
        <f aca="false">IF($A76="","",INDEX(Scoring!$A$5:$A$172,MATCH(72,Scoring!$AH$5:$AH$172,0)))</f>
        <v/>
      </c>
      <c r="E76" s="12" t="str">
        <f aca="false">IF($A76="","",INDEX(Scoring!$B$5:$B$172,MATCH(72,Scoring!$AH$5:$AH$172,0)))</f>
        <v/>
      </c>
      <c r="F76" s="13" t="str">
        <f aca="false">IF($A76="","",INDEX(Scoring!$C$5:$C$172,MATCH(72,Scoring!$AH$5:$AH$172,0)))</f>
        <v/>
      </c>
      <c r="G76" s="13" t="str">
        <f aca="false">IF($A76="","",INDEX(Scoring!$D$5:$D$172,MATCH(72,Scoring!$AH$5:$AH$172,0)))</f>
        <v/>
      </c>
      <c r="H76" s="10" t="str">
        <f aca="false">IF($A76="","",INDEX(Scoring!$F$5:$F$172,MATCH(72,Scoring!$AH$5:$AH$172,0)))</f>
        <v/>
      </c>
      <c r="I76" s="10" t="str">
        <f aca="false">IF($A76="","",INDEX(Scoring!$G$5:$G$172,MATCH(72,Scoring!$AH$5:$AH$172,0)))</f>
        <v/>
      </c>
      <c r="J76" s="10" t="str">
        <f aca="false">IF($A76="","",INDEX(Scoring!$H$5:$H$172,MATCH(72,Scoring!$AH$5:$AH$172,0)))</f>
        <v/>
      </c>
      <c r="K76" s="14" t="str">
        <f aca="false">IF($A76="","",INDEX(Scoring!$W$5:$W$172,MATCH(72,Scoring!$AH$5:$AH$172,0)))</f>
        <v/>
      </c>
      <c r="L76" s="11" t="str">
        <f aca="false">IF($A76="","",INDEX(Scoring!$AA$5:$AA$172,MATCH(72,Scoring!$AH$5:$AH$172,0)))</f>
        <v/>
      </c>
      <c r="M76" s="13" t="str">
        <f aca="false">IF($A76="","",INDEX(Scoring!$AB$5:$AB$172,MATCH(72,Scoring!$AH$5:$AH$172,0)))</f>
        <v/>
      </c>
      <c r="N76" s="13" t="str">
        <f aca="false">IF($A76="","",INDEX(Scoring!$AD$5:$AD$172,MATCH(72,Scoring!$AH$5:$AH$172,0)))</f>
        <v/>
      </c>
      <c r="O76" s="10" t="str">
        <f aca="false">IF($A76="","",INDEX(Scoring!$AE$5:$AE$172,MATCH(72,Scoring!$AH$5:$AH$172,0)))</f>
        <v/>
      </c>
    </row>
    <row r="77" customFormat="false" ht="57.75" hidden="false" customHeight="true" outlineLevel="0" collapsed="false">
      <c r="A77" s="9" t="str">
        <f aca="false">IF(73&lt;=$C$3,73,"")</f>
        <v/>
      </c>
      <c r="B77" s="10" t="str">
        <f aca="false">IF($A77="","",INDEX(Scoring!$Z$5:$Z$172,MATCH(73,Scoring!$AH$5:$AH$172,0)))</f>
        <v/>
      </c>
      <c r="C77" s="11" t="str">
        <f aca="false">IF($A77="","",IF(INDEX(Scoring!$AF$5:$AF$172,MATCH(73,Scoring!$AH$5:$AH$172,0))="Yes",IF(INDEX(Scoring!$Z$5:$Z$172,MATCH(73,Scoring!$AH$5:$AH$172,0))&lt;=Weights!$C$19,"Top 30 + added","Added to queue"),"Top 30 by score"))</f>
        <v/>
      </c>
      <c r="D77" s="10" t="str">
        <f aca="false">IF($A77="","",INDEX(Scoring!$A$5:$A$172,MATCH(73,Scoring!$AH$5:$AH$172,0)))</f>
        <v/>
      </c>
      <c r="E77" s="12" t="str">
        <f aca="false">IF($A77="","",INDEX(Scoring!$B$5:$B$172,MATCH(73,Scoring!$AH$5:$AH$172,0)))</f>
        <v/>
      </c>
      <c r="F77" s="13" t="str">
        <f aca="false">IF($A77="","",INDEX(Scoring!$C$5:$C$172,MATCH(73,Scoring!$AH$5:$AH$172,0)))</f>
        <v/>
      </c>
      <c r="G77" s="13" t="str">
        <f aca="false">IF($A77="","",INDEX(Scoring!$D$5:$D$172,MATCH(73,Scoring!$AH$5:$AH$172,0)))</f>
        <v/>
      </c>
      <c r="H77" s="10" t="str">
        <f aca="false">IF($A77="","",INDEX(Scoring!$F$5:$F$172,MATCH(73,Scoring!$AH$5:$AH$172,0)))</f>
        <v/>
      </c>
      <c r="I77" s="10" t="str">
        <f aca="false">IF($A77="","",INDEX(Scoring!$G$5:$G$172,MATCH(73,Scoring!$AH$5:$AH$172,0)))</f>
        <v/>
      </c>
      <c r="J77" s="10" t="str">
        <f aca="false">IF($A77="","",INDEX(Scoring!$H$5:$H$172,MATCH(73,Scoring!$AH$5:$AH$172,0)))</f>
        <v/>
      </c>
      <c r="K77" s="14" t="str">
        <f aca="false">IF($A77="","",INDEX(Scoring!$W$5:$W$172,MATCH(73,Scoring!$AH$5:$AH$172,0)))</f>
        <v/>
      </c>
      <c r="L77" s="11" t="str">
        <f aca="false">IF($A77="","",INDEX(Scoring!$AA$5:$AA$172,MATCH(73,Scoring!$AH$5:$AH$172,0)))</f>
        <v/>
      </c>
      <c r="M77" s="13" t="str">
        <f aca="false">IF($A77="","",INDEX(Scoring!$AB$5:$AB$172,MATCH(73,Scoring!$AH$5:$AH$172,0)))</f>
        <v/>
      </c>
      <c r="N77" s="13" t="str">
        <f aca="false">IF($A77="","",INDEX(Scoring!$AD$5:$AD$172,MATCH(73,Scoring!$AH$5:$AH$172,0)))</f>
        <v/>
      </c>
      <c r="O77" s="10" t="str">
        <f aca="false">IF($A77="","",INDEX(Scoring!$AE$5:$AE$172,MATCH(73,Scoring!$AH$5:$AH$172,0)))</f>
        <v/>
      </c>
    </row>
    <row r="78" customFormat="false" ht="57.75" hidden="false" customHeight="true" outlineLevel="0" collapsed="false">
      <c r="A78" s="9" t="str">
        <f aca="false">IF(74&lt;=$C$3,74,"")</f>
        <v/>
      </c>
      <c r="B78" s="10" t="str">
        <f aca="false">IF($A78="","",INDEX(Scoring!$Z$5:$Z$172,MATCH(74,Scoring!$AH$5:$AH$172,0)))</f>
        <v/>
      </c>
      <c r="C78" s="11" t="str">
        <f aca="false">IF($A78="","",IF(INDEX(Scoring!$AF$5:$AF$172,MATCH(74,Scoring!$AH$5:$AH$172,0))="Yes",IF(INDEX(Scoring!$Z$5:$Z$172,MATCH(74,Scoring!$AH$5:$AH$172,0))&lt;=Weights!$C$19,"Top 30 + added","Added to queue"),"Top 30 by score"))</f>
        <v/>
      </c>
      <c r="D78" s="10" t="str">
        <f aca="false">IF($A78="","",INDEX(Scoring!$A$5:$A$172,MATCH(74,Scoring!$AH$5:$AH$172,0)))</f>
        <v/>
      </c>
      <c r="E78" s="12" t="str">
        <f aca="false">IF($A78="","",INDEX(Scoring!$B$5:$B$172,MATCH(74,Scoring!$AH$5:$AH$172,0)))</f>
        <v/>
      </c>
      <c r="F78" s="13" t="str">
        <f aca="false">IF($A78="","",INDEX(Scoring!$C$5:$C$172,MATCH(74,Scoring!$AH$5:$AH$172,0)))</f>
        <v/>
      </c>
      <c r="G78" s="13" t="str">
        <f aca="false">IF($A78="","",INDEX(Scoring!$D$5:$D$172,MATCH(74,Scoring!$AH$5:$AH$172,0)))</f>
        <v/>
      </c>
      <c r="H78" s="10" t="str">
        <f aca="false">IF($A78="","",INDEX(Scoring!$F$5:$F$172,MATCH(74,Scoring!$AH$5:$AH$172,0)))</f>
        <v/>
      </c>
      <c r="I78" s="10" t="str">
        <f aca="false">IF($A78="","",INDEX(Scoring!$G$5:$G$172,MATCH(74,Scoring!$AH$5:$AH$172,0)))</f>
        <v/>
      </c>
      <c r="J78" s="10" t="str">
        <f aca="false">IF($A78="","",INDEX(Scoring!$H$5:$H$172,MATCH(74,Scoring!$AH$5:$AH$172,0)))</f>
        <v/>
      </c>
      <c r="K78" s="14" t="str">
        <f aca="false">IF($A78="","",INDEX(Scoring!$W$5:$W$172,MATCH(74,Scoring!$AH$5:$AH$172,0)))</f>
        <v/>
      </c>
      <c r="L78" s="11" t="str">
        <f aca="false">IF($A78="","",INDEX(Scoring!$AA$5:$AA$172,MATCH(74,Scoring!$AH$5:$AH$172,0)))</f>
        <v/>
      </c>
      <c r="M78" s="13" t="str">
        <f aca="false">IF($A78="","",INDEX(Scoring!$AB$5:$AB$172,MATCH(74,Scoring!$AH$5:$AH$172,0)))</f>
        <v/>
      </c>
      <c r="N78" s="13" t="str">
        <f aca="false">IF($A78="","",INDEX(Scoring!$AD$5:$AD$172,MATCH(74,Scoring!$AH$5:$AH$172,0)))</f>
        <v/>
      </c>
      <c r="O78" s="10" t="str">
        <f aca="false">IF($A78="","",INDEX(Scoring!$AE$5:$AE$172,MATCH(74,Scoring!$AH$5:$AH$172,0)))</f>
        <v/>
      </c>
    </row>
    <row r="79" customFormat="false" ht="57.75" hidden="false" customHeight="true" outlineLevel="0" collapsed="false">
      <c r="A79" s="9" t="str">
        <f aca="false">IF(75&lt;=$C$3,75,"")</f>
        <v/>
      </c>
      <c r="B79" s="10" t="str">
        <f aca="false">IF($A79="","",INDEX(Scoring!$Z$5:$Z$172,MATCH(75,Scoring!$AH$5:$AH$172,0)))</f>
        <v/>
      </c>
      <c r="C79" s="11" t="str">
        <f aca="false">IF($A79="","",IF(INDEX(Scoring!$AF$5:$AF$172,MATCH(75,Scoring!$AH$5:$AH$172,0))="Yes",IF(INDEX(Scoring!$Z$5:$Z$172,MATCH(75,Scoring!$AH$5:$AH$172,0))&lt;=Weights!$C$19,"Top 30 + added","Added to queue"),"Top 30 by score"))</f>
        <v/>
      </c>
      <c r="D79" s="10" t="str">
        <f aca="false">IF($A79="","",INDEX(Scoring!$A$5:$A$172,MATCH(75,Scoring!$AH$5:$AH$172,0)))</f>
        <v/>
      </c>
      <c r="E79" s="12" t="str">
        <f aca="false">IF($A79="","",INDEX(Scoring!$B$5:$B$172,MATCH(75,Scoring!$AH$5:$AH$172,0)))</f>
        <v/>
      </c>
      <c r="F79" s="13" t="str">
        <f aca="false">IF($A79="","",INDEX(Scoring!$C$5:$C$172,MATCH(75,Scoring!$AH$5:$AH$172,0)))</f>
        <v/>
      </c>
      <c r="G79" s="13" t="str">
        <f aca="false">IF($A79="","",INDEX(Scoring!$D$5:$D$172,MATCH(75,Scoring!$AH$5:$AH$172,0)))</f>
        <v/>
      </c>
      <c r="H79" s="10" t="str">
        <f aca="false">IF($A79="","",INDEX(Scoring!$F$5:$F$172,MATCH(75,Scoring!$AH$5:$AH$172,0)))</f>
        <v/>
      </c>
      <c r="I79" s="10" t="str">
        <f aca="false">IF($A79="","",INDEX(Scoring!$G$5:$G$172,MATCH(75,Scoring!$AH$5:$AH$172,0)))</f>
        <v/>
      </c>
      <c r="J79" s="10" t="str">
        <f aca="false">IF($A79="","",INDEX(Scoring!$H$5:$H$172,MATCH(75,Scoring!$AH$5:$AH$172,0)))</f>
        <v/>
      </c>
      <c r="K79" s="14" t="str">
        <f aca="false">IF($A79="","",INDEX(Scoring!$W$5:$W$172,MATCH(75,Scoring!$AH$5:$AH$172,0)))</f>
        <v/>
      </c>
      <c r="L79" s="11" t="str">
        <f aca="false">IF($A79="","",INDEX(Scoring!$AA$5:$AA$172,MATCH(75,Scoring!$AH$5:$AH$172,0)))</f>
        <v/>
      </c>
      <c r="M79" s="13" t="str">
        <f aca="false">IF($A79="","",INDEX(Scoring!$AB$5:$AB$172,MATCH(75,Scoring!$AH$5:$AH$172,0)))</f>
        <v/>
      </c>
      <c r="N79" s="13" t="str">
        <f aca="false">IF($A79="","",INDEX(Scoring!$AD$5:$AD$172,MATCH(75,Scoring!$AH$5:$AH$172,0)))</f>
        <v/>
      </c>
      <c r="O79" s="10" t="str">
        <f aca="false">IF($A79="","",INDEX(Scoring!$AE$5:$AE$172,MATCH(75,Scoring!$AH$5:$AH$172,0)))</f>
        <v/>
      </c>
    </row>
  </sheetData>
  <conditionalFormatting sqref="L5:L79">
    <cfRule type="expression" priority="2" aboveAverage="0" equalAverage="0" bottom="0" percent="0" rank="0" text="" dxfId="0">
      <formula>LEFT($L5,6)="Tier 1"</formula>
    </cfRule>
    <cfRule type="expression" priority="3" aboveAverage="0" equalAverage="0" bottom="0" percent="0" rank="0" text="" dxfId="1">
      <formula>LEFT($L5,6)="Tier 2"</formula>
    </cfRule>
    <cfRule type="expression" priority="4" aboveAverage="0" equalAverage="0" bottom="0" percent="0" rank="0" text="" dxfId="2">
      <formula>LEFT($L5,6)="Tier 3"</formula>
    </cfRule>
    <cfRule type="expression" priority="5" aboveAverage="0" equalAverage="0" bottom="0" percent="0" rank="0" text="" dxfId="3">
      <formula>LEFT($L5,6)="Tier 4"</formula>
    </cfRule>
    <cfRule type="expression" priority="6" aboveAverage="0" equalAverage="0" bottom="0" percent="0" rank="0" text="" dxfId="4">
      <formula>LEFT($L5,4)="Hold"</formula>
    </cfRule>
  </conditionalFormatting>
  <conditionalFormatting sqref="K5:K79">
    <cfRule type="dataBar" priority="7">
      <dataBar showValue="1" minLength="10" maxLength="90">
        <cfvo type="num" val="0"/>
        <cfvo type="num" val="100"/>
        <color rgb="FF0F7C7A"/>
      </dataBar>
      <extLst>
        <ext xmlns:x14="http://schemas.microsoft.com/office/spreadsheetml/2009/9/main" uri="{B025F937-C7B1-47D3-B67F-A62EFF666E3E}">
          <x14:id>{678676C5-36E8-447D-BFCD-B0C5FE8BEAB8}</x14:id>
        </ext>
      </extLst>
    </cfRule>
  </conditionalFormatting>
  <conditionalFormatting sqref="C5:C79">
    <cfRule type="expression" priority="8" aboveAverage="0" equalAverage="0" bottom="0" percent="0" rank="0" text="" dxfId="5">
      <formula>$C5="Added to queue"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8676C5-36E8-447D-BFCD-B0C5FE8BEAB8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0F7C7A"/>
              <x14:axisColor rgb="FF000000"/>
            </x14:dataBar>
          </x14:cfRule>
          <xm:sqref>K5:K79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90"/>
  </cols>
  <sheetData>
    <row r="1" customFormat="false" ht="19.7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8" t="s">
        <v>67</v>
      </c>
      <c r="B4" s="8" t="s">
        <v>68</v>
      </c>
      <c r="C4" s="8" t="s">
        <v>69</v>
      </c>
      <c r="D4" s="8" t="s">
        <v>70</v>
      </c>
      <c r="E4" s="8" t="s">
        <v>71</v>
      </c>
    </row>
    <row r="5" customFormat="false" ht="43.5" hidden="false" customHeight="true" outlineLevel="0" collapsed="false">
      <c r="A5" s="15" t="n">
        <v>1</v>
      </c>
      <c r="B5" s="16" t="s">
        <v>72</v>
      </c>
      <c r="C5" s="17" t="n">
        <v>0.08</v>
      </c>
      <c r="D5" s="18" t="s">
        <v>73</v>
      </c>
      <c r="E5" s="18" t="s">
        <v>74</v>
      </c>
    </row>
    <row r="6" customFormat="false" ht="43.5" hidden="false" customHeight="true" outlineLevel="0" collapsed="false">
      <c r="A6" s="15" t="n">
        <v>2</v>
      </c>
      <c r="B6" s="16" t="s">
        <v>75</v>
      </c>
      <c r="C6" s="17" t="n">
        <v>0.12</v>
      </c>
      <c r="D6" s="18" t="s">
        <v>76</v>
      </c>
      <c r="E6" s="18" t="s">
        <v>77</v>
      </c>
    </row>
    <row r="7" customFormat="false" ht="43.5" hidden="false" customHeight="true" outlineLevel="0" collapsed="false">
      <c r="A7" s="15" t="n">
        <v>3</v>
      </c>
      <c r="B7" s="16" t="s">
        <v>38</v>
      </c>
      <c r="C7" s="17" t="n">
        <v>0.08</v>
      </c>
      <c r="D7" s="18" t="s">
        <v>78</v>
      </c>
      <c r="E7" s="18" t="s">
        <v>79</v>
      </c>
    </row>
    <row r="8" customFormat="false" ht="43.5" hidden="false" customHeight="true" outlineLevel="0" collapsed="false">
      <c r="A8" s="15" t="n">
        <v>4</v>
      </c>
      <c r="B8" s="16" t="s">
        <v>80</v>
      </c>
      <c r="C8" s="17" t="n">
        <v>0.1</v>
      </c>
      <c r="D8" s="18" t="s">
        <v>81</v>
      </c>
      <c r="E8" s="18" t="s">
        <v>82</v>
      </c>
    </row>
    <row r="9" customFormat="false" ht="43.5" hidden="false" customHeight="true" outlineLevel="0" collapsed="false">
      <c r="A9" s="15" t="n">
        <v>5</v>
      </c>
      <c r="B9" s="16" t="s">
        <v>83</v>
      </c>
      <c r="C9" s="17" t="n">
        <v>0.07</v>
      </c>
      <c r="D9" s="18" t="s">
        <v>84</v>
      </c>
      <c r="E9" s="18" t="s">
        <v>85</v>
      </c>
    </row>
    <row r="10" customFormat="false" ht="43.5" hidden="false" customHeight="true" outlineLevel="0" collapsed="false">
      <c r="A10" s="15" t="n">
        <v>6</v>
      </c>
      <c r="B10" s="16" t="s">
        <v>86</v>
      </c>
      <c r="C10" s="17" t="n">
        <v>0.06</v>
      </c>
      <c r="D10" s="18" t="s">
        <v>87</v>
      </c>
      <c r="E10" s="18" t="s">
        <v>88</v>
      </c>
    </row>
    <row r="11" customFormat="false" ht="43.5" hidden="false" customHeight="true" outlineLevel="0" collapsed="false">
      <c r="A11" s="15" t="n">
        <v>7</v>
      </c>
      <c r="B11" s="16" t="s">
        <v>89</v>
      </c>
      <c r="C11" s="17" t="n">
        <v>0.1</v>
      </c>
      <c r="D11" s="18" t="s">
        <v>90</v>
      </c>
      <c r="E11" s="18" t="s">
        <v>91</v>
      </c>
    </row>
    <row r="12" customFormat="false" ht="43.5" hidden="false" customHeight="true" outlineLevel="0" collapsed="false">
      <c r="A12" s="15" t="n">
        <v>8</v>
      </c>
      <c r="B12" s="16" t="s">
        <v>92</v>
      </c>
      <c r="C12" s="17" t="n">
        <v>0.08</v>
      </c>
      <c r="D12" s="18" t="s">
        <v>93</v>
      </c>
      <c r="E12" s="18" t="s">
        <v>94</v>
      </c>
    </row>
    <row r="13" customFormat="false" ht="43.5" hidden="false" customHeight="true" outlineLevel="0" collapsed="false">
      <c r="A13" s="15" t="n">
        <v>9</v>
      </c>
      <c r="B13" s="16" t="s">
        <v>95</v>
      </c>
      <c r="C13" s="17" t="n">
        <v>0.08</v>
      </c>
      <c r="D13" s="18" t="s">
        <v>96</v>
      </c>
      <c r="E13" s="18" t="s">
        <v>97</v>
      </c>
    </row>
    <row r="14" customFormat="false" ht="43.5" hidden="false" customHeight="true" outlineLevel="0" collapsed="false">
      <c r="A14" s="15" t="n">
        <v>10</v>
      </c>
      <c r="B14" s="16" t="s">
        <v>98</v>
      </c>
      <c r="C14" s="17" t="n">
        <v>0.15</v>
      </c>
      <c r="D14" s="18" t="s">
        <v>99</v>
      </c>
      <c r="E14" s="18" t="s">
        <v>100</v>
      </c>
    </row>
    <row r="15" customFormat="false" ht="43.5" hidden="false" customHeight="true" outlineLevel="0" collapsed="false">
      <c r="A15" s="15" t="n">
        <v>11</v>
      </c>
      <c r="B15" s="16" t="s">
        <v>101</v>
      </c>
      <c r="C15" s="17" t="n">
        <v>0.08</v>
      </c>
      <c r="D15" s="18" t="s">
        <v>102</v>
      </c>
      <c r="E15" s="18" t="s">
        <v>103</v>
      </c>
    </row>
    <row r="16" customFormat="false" ht="15" hidden="false" customHeight="false" outlineLevel="0" collapsed="false">
      <c r="B16" s="4" t="s">
        <v>104</v>
      </c>
      <c r="C16" s="19" t="n">
        <f aca="false">SUM(C5:C15)</f>
        <v>1</v>
      </c>
      <c r="D16" s="20" t="str">
        <f aca="false">IF(ROUND(C16,4)=1,"OK — weights total 100%","Check — weights total "&amp;TEXT(C16,"0%"))</f>
        <v>OK — weights total 100%</v>
      </c>
    </row>
    <row r="17" customFormat="false" ht="15" hidden="false" customHeight="false" outlineLevel="0" collapsed="false">
      <c r="B17" s="21" t="s">
        <v>105</v>
      </c>
    </row>
    <row r="18" customFormat="false" ht="15" hidden="false" customHeight="false" outlineLevel="0" collapsed="false">
      <c r="B18" s="22" t="s">
        <v>23</v>
      </c>
      <c r="C18" s="23" t="n">
        <v>10</v>
      </c>
      <c r="D18" s="24" t="s">
        <v>106</v>
      </c>
    </row>
    <row r="19" customFormat="false" ht="15" hidden="false" customHeight="false" outlineLevel="0" collapsed="false">
      <c r="B19" s="22" t="s">
        <v>25</v>
      </c>
      <c r="C19" s="23" t="n">
        <v>30</v>
      </c>
    </row>
    <row r="20" customFormat="false" ht="15" hidden="false" customHeight="false" outlineLevel="0" collapsed="false">
      <c r="B20" s="22" t="s">
        <v>27</v>
      </c>
      <c r="C20" s="23" t="n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9" min="9" style="0" width="11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2" min="22" style="0" width="22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true" outlineLevel="0" max="25" min="25" style="0" width="9"/>
    <col collapsed="false" customWidth="true" hidden="false" outlineLevel="0" max="26" min="26" style="0" width="7"/>
    <col collapsed="false" customWidth="true" hidden="false" outlineLevel="0" max="27" min="27" style="0" width="22"/>
    <col collapsed="false" customWidth="true" hidden="false" outlineLevel="0" max="29" min="28" style="0" width="60"/>
    <col collapsed="false" customWidth="true" hidden="false" outlineLevel="0" max="30" min="30" style="0" width="40"/>
    <col collapsed="false" customWidth="true" hidden="false" outlineLevel="0" max="31" min="31" style="0" width="9"/>
    <col collapsed="false" customWidth="true" hidden="false" outlineLevel="0" max="32" min="32" style="0" width="10"/>
    <col collapsed="false" customWidth="true" hidden="true" outlineLevel="0" max="33" min="33" style="0" width="9"/>
    <col collapsed="false" customWidth="true" hidden="false" outlineLevel="0" max="34" min="34" style="0" width="9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H3" s="25" t="s">
        <v>109</v>
      </c>
      <c r="I3" s="26" t="n">
        <f aca="false">Weights!C5</f>
        <v>0.08</v>
      </c>
      <c r="J3" s="26" t="n">
        <f aca="false">Weights!C6</f>
        <v>0.12</v>
      </c>
      <c r="K3" s="26" t="n">
        <f aca="false">Weights!C7</f>
        <v>0.08</v>
      </c>
      <c r="L3" s="26" t="n">
        <f aca="false">Weights!C8</f>
        <v>0.1</v>
      </c>
      <c r="M3" s="26" t="n">
        <f aca="false">Weights!C9</f>
        <v>0.07</v>
      </c>
      <c r="N3" s="26" t="n">
        <f aca="false">Weights!C10</f>
        <v>0.06</v>
      </c>
      <c r="O3" s="26" t="n">
        <f aca="false">Weights!C11</f>
        <v>0.1</v>
      </c>
      <c r="P3" s="26" t="n">
        <f aca="false">Weights!C12</f>
        <v>0.08</v>
      </c>
      <c r="Q3" s="26" t="n">
        <f aca="false">Weights!C13</f>
        <v>0.08</v>
      </c>
      <c r="R3" s="26" t="n">
        <f aca="false">Weights!C14</f>
        <v>0.15</v>
      </c>
      <c r="S3" s="26" t="n">
        <f aca="false">Weights!C15</f>
        <v>0.08</v>
      </c>
    </row>
    <row r="4" customFormat="false" ht="48" hidden="false" customHeight="true" outlineLevel="0" collapsed="false">
      <c r="A4" s="8" t="s">
        <v>54</v>
      </c>
      <c r="B4" s="8" t="s">
        <v>55</v>
      </c>
      <c r="C4" s="8" t="s">
        <v>56</v>
      </c>
      <c r="D4" s="8" t="s">
        <v>57</v>
      </c>
      <c r="E4" s="8" t="s">
        <v>110</v>
      </c>
      <c r="F4" s="8" t="s">
        <v>58</v>
      </c>
      <c r="G4" s="8" t="s">
        <v>59</v>
      </c>
      <c r="H4" s="8" t="s">
        <v>60</v>
      </c>
      <c r="I4" s="8" t="s">
        <v>72</v>
      </c>
      <c r="J4" s="8" t="s">
        <v>75</v>
      </c>
      <c r="K4" s="8" t="s">
        <v>38</v>
      </c>
      <c r="L4" s="8" t="s">
        <v>80</v>
      </c>
      <c r="M4" s="8" t="s">
        <v>83</v>
      </c>
      <c r="N4" s="8" t="s">
        <v>86</v>
      </c>
      <c r="O4" s="8" t="s">
        <v>89</v>
      </c>
      <c r="P4" s="8" t="s">
        <v>92</v>
      </c>
      <c r="Q4" s="8" t="s">
        <v>95</v>
      </c>
      <c r="R4" s="8" t="s">
        <v>98</v>
      </c>
      <c r="S4" s="8" t="s">
        <v>101</v>
      </c>
      <c r="T4" s="8" t="s">
        <v>111</v>
      </c>
      <c r="U4" s="8" t="s">
        <v>112</v>
      </c>
      <c r="V4" s="8" t="s">
        <v>113</v>
      </c>
      <c r="W4" s="8" t="s">
        <v>61</v>
      </c>
      <c r="X4" s="8" t="s">
        <v>114</v>
      </c>
      <c r="Y4" s="8" t="s">
        <v>115</v>
      </c>
      <c r="Z4" s="8" t="s">
        <v>36</v>
      </c>
      <c r="AA4" s="8" t="s">
        <v>62</v>
      </c>
      <c r="AB4" s="8" t="s">
        <v>42</v>
      </c>
      <c r="AC4" s="8" t="s">
        <v>116</v>
      </c>
      <c r="AD4" s="8" t="s">
        <v>63</v>
      </c>
      <c r="AE4" s="8" t="s">
        <v>64</v>
      </c>
      <c r="AF4" s="8" t="s">
        <v>117</v>
      </c>
      <c r="AG4" s="8" t="s">
        <v>118</v>
      </c>
      <c r="AH4" s="8" t="s">
        <v>119</v>
      </c>
    </row>
    <row r="5" customFormat="false" ht="35.05" hidden="false" customHeight="false" outlineLevel="0" collapsed="false">
      <c r="A5" s="18" t="s">
        <v>120</v>
      </c>
      <c r="B5" s="27" t="s">
        <v>121</v>
      </c>
      <c r="C5" s="18" t="s">
        <v>122</v>
      </c>
      <c r="D5" s="18" t="s">
        <v>123</v>
      </c>
      <c r="E5" s="18" t="s">
        <v>124</v>
      </c>
      <c r="F5" s="18" t="s">
        <v>125</v>
      </c>
      <c r="G5" s="15" t="n">
        <v>2024</v>
      </c>
      <c r="H5" s="15" t="n">
        <v>2</v>
      </c>
      <c r="I5" s="23" t="n">
        <v>2</v>
      </c>
      <c r="J5" s="23" t="n">
        <v>5</v>
      </c>
      <c r="K5" s="23" t="n">
        <v>5</v>
      </c>
      <c r="L5" s="23" t="n">
        <v>5</v>
      </c>
      <c r="M5" s="23" t="n">
        <v>0</v>
      </c>
      <c r="N5" s="23" t="n">
        <v>3</v>
      </c>
      <c r="O5" s="23" t="n">
        <v>2</v>
      </c>
      <c r="P5" s="23" t="n">
        <v>3.5</v>
      </c>
      <c r="Q5" s="23" t="n">
        <v>5</v>
      </c>
      <c r="R5" s="23" t="n">
        <v>3.5</v>
      </c>
      <c r="S5" s="23" t="n">
        <v>5</v>
      </c>
      <c r="T5" s="23" t="n">
        <v>0</v>
      </c>
      <c r="U5" s="18" t="s">
        <v>126</v>
      </c>
      <c r="V5" s="18"/>
      <c r="W5" s="28" t="n">
        <f aca="false">MIN(100,MAX(0,ROUND(SUMPRODUCT(I5:S5,$I$3:$S$3)/SUM($I$3:$S$3)/5*100+T5,1)))</f>
        <v>72.9</v>
      </c>
      <c r="X5" s="15" t="str">
        <f aca="false">IF(U5="Yes","No","Yes")</f>
        <v>Yes</v>
      </c>
      <c r="Y5" s="29" t="n">
        <f aca="false">IF(X5="Yes",W5,W5-1000)-ROW()/100000</f>
        <v>72.89995</v>
      </c>
      <c r="Z5" s="15" t="n">
        <f aca="false">RANK(Y5,$Y$5:$Y$172,0)</f>
        <v>12</v>
      </c>
      <c r="AA5" s="15" t="str">
        <f aca="false">IF(X5="No","Hold – resolve flag",IF(Z5&lt;=Weights!$C$18,"Tier 1 – Flagship launch",IF(OR(Z5&lt;=Weights!$C$19,AF5="Yes"),"Tier 2 – Priority",IF(Z5&lt;=Weights!$C$20,"Tier 3 – Standard rotation","Tier 4 – Reserve"))))</f>
        <v>Tier 2 – Priority</v>
      </c>
      <c r="AB5" s="18" t="s">
        <v>127</v>
      </c>
      <c r="AC5" s="27" t="s">
        <v>128</v>
      </c>
      <c r="AD5" s="18" t="s">
        <v>129</v>
      </c>
      <c r="AE5" s="15" t="s">
        <v>130</v>
      </c>
      <c r="AF5" s="23" t="s">
        <v>131</v>
      </c>
      <c r="AG5" s="29" t="n">
        <f aca="false">IF(OR(Z5&lt;=Weights!$C$19,AF5="Yes"),Y5,Y5-5000)</f>
        <v>72.89995</v>
      </c>
      <c r="AH5" s="15" t="n">
        <f aca="false">IF(OR(Z5&lt;=Weights!$C$19,AF5="Yes"),RANK(AG5,$AG$5:$AG$172,0),"")</f>
        <v>12</v>
      </c>
    </row>
    <row r="6" customFormat="false" ht="35.05" hidden="false" customHeight="false" outlineLevel="0" collapsed="false">
      <c r="A6" s="18" t="s">
        <v>132</v>
      </c>
      <c r="B6" s="27" t="s">
        <v>133</v>
      </c>
      <c r="C6" s="18" t="s">
        <v>134</v>
      </c>
      <c r="D6" s="18" t="s">
        <v>135</v>
      </c>
      <c r="E6" s="18" t="s">
        <v>136</v>
      </c>
      <c r="F6" s="18" t="s">
        <v>137</v>
      </c>
      <c r="G6" s="15" t="n">
        <v>2024</v>
      </c>
      <c r="H6" s="15" t="s">
        <v>138</v>
      </c>
      <c r="I6" s="23" t="n">
        <v>4</v>
      </c>
      <c r="J6" s="23" t="n">
        <v>2</v>
      </c>
      <c r="K6" s="23" t="n">
        <v>2</v>
      </c>
      <c r="L6" s="23" t="n">
        <v>5</v>
      </c>
      <c r="M6" s="23" t="n">
        <v>3</v>
      </c>
      <c r="N6" s="23" t="n">
        <v>5</v>
      </c>
      <c r="O6" s="23" t="n">
        <v>4</v>
      </c>
      <c r="P6" s="23" t="n">
        <v>2.2</v>
      </c>
      <c r="Q6" s="23" t="n">
        <v>4.8</v>
      </c>
      <c r="R6" s="23" t="n">
        <v>3.5</v>
      </c>
      <c r="S6" s="23" t="n">
        <v>5</v>
      </c>
      <c r="T6" s="23" t="n">
        <v>0</v>
      </c>
      <c r="U6" s="18" t="s">
        <v>126</v>
      </c>
      <c r="V6" s="18"/>
      <c r="W6" s="28" t="n">
        <f aca="false">MIN(100,MAX(0,ROUND(SUMPRODUCT(I6:S6,$I$3:$S$3)/SUM($I$3:$S$3)/5*100+T6,1)))</f>
        <v>72.3</v>
      </c>
      <c r="X6" s="15" t="str">
        <f aca="false">IF(U6="Yes","No","Yes")</f>
        <v>Yes</v>
      </c>
      <c r="Y6" s="29" t="n">
        <f aca="false">IF(X6="Yes",W6,W6-1000)-ROW()/100000</f>
        <v>72.29994</v>
      </c>
      <c r="Z6" s="15" t="n">
        <f aca="false">RANK(Y6,$Y$5:$Y$172,0)</f>
        <v>13</v>
      </c>
      <c r="AA6" s="15" t="str">
        <f aca="false">IF(X6="No","Hold – resolve flag",IF(Z6&lt;=Weights!$C$18,"Tier 1 – Flagship launch",IF(OR(Z6&lt;=Weights!$C$19,AF6="Yes"),"Tier 2 – Priority",IF(Z6&lt;=Weights!$C$20,"Tier 3 – Standard rotation","Tier 4 – Reserve"))))</f>
        <v>Tier 2 – Priority</v>
      </c>
      <c r="AB6" s="18" t="s">
        <v>139</v>
      </c>
      <c r="AC6" s="27" t="s">
        <v>140</v>
      </c>
      <c r="AD6" s="18" t="s">
        <v>129</v>
      </c>
      <c r="AE6" s="15" t="s">
        <v>130</v>
      </c>
      <c r="AF6" s="23" t="s">
        <v>126</v>
      </c>
      <c r="AG6" s="29" t="n">
        <f aca="false">IF(OR(Z6&lt;=Weights!$C$19,AF6="Yes"),Y6,Y6-5000)</f>
        <v>72.29994</v>
      </c>
      <c r="AH6" s="15" t="n">
        <f aca="false">IF(OR(Z6&lt;=Weights!$C$19,AF6="Yes"),RANK(AG6,$AG$5:$AG$172,0),"")</f>
        <v>13</v>
      </c>
    </row>
    <row r="7" customFormat="false" ht="35.05" hidden="false" customHeight="false" outlineLevel="0" collapsed="false">
      <c r="A7" s="18" t="s">
        <v>141</v>
      </c>
      <c r="B7" s="27" t="s">
        <v>142</v>
      </c>
      <c r="C7" s="18" t="s">
        <v>143</v>
      </c>
      <c r="D7" s="18" t="s">
        <v>144</v>
      </c>
      <c r="E7" s="18" t="s">
        <v>145</v>
      </c>
      <c r="F7" s="18" t="s">
        <v>146</v>
      </c>
      <c r="G7" s="15" t="n">
        <v>2024</v>
      </c>
      <c r="H7" s="15" t="n">
        <v>11</v>
      </c>
      <c r="I7" s="23" t="n">
        <v>4</v>
      </c>
      <c r="J7" s="23" t="n">
        <v>3</v>
      </c>
      <c r="K7" s="23" t="n">
        <v>1</v>
      </c>
      <c r="L7" s="23" t="n">
        <v>4</v>
      </c>
      <c r="M7" s="23" t="n">
        <v>4</v>
      </c>
      <c r="N7" s="23" t="n">
        <v>5</v>
      </c>
      <c r="O7" s="23" t="n">
        <v>2</v>
      </c>
      <c r="P7" s="23" t="n">
        <v>1.5</v>
      </c>
      <c r="Q7" s="23" t="n">
        <v>4.2</v>
      </c>
      <c r="R7" s="23" t="n">
        <v>3.5</v>
      </c>
      <c r="S7" s="23" t="n">
        <v>3</v>
      </c>
      <c r="T7" s="23" t="n">
        <v>0</v>
      </c>
      <c r="U7" s="18" t="s">
        <v>126</v>
      </c>
      <c r="V7" s="18"/>
      <c r="W7" s="28" t="n">
        <f aca="false">MIN(100,MAX(0,ROUND(SUMPRODUCT(I7:S7,$I$3:$S$3)/SUM($I$3:$S$3)/5*100+T7,1)))</f>
        <v>63.2</v>
      </c>
      <c r="X7" s="15" t="str">
        <f aca="false">IF(U7="Yes","No","Yes")</f>
        <v>Yes</v>
      </c>
      <c r="Y7" s="29" t="n">
        <f aca="false">IF(X7="Yes",W7,W7-1000)-ROW()/100000</f>
        <v>63.19993</v>
      </c>
      <c r="Z7" s="15" t="n">
        <f aca="false">RANK(Y7,$Y$5:$Y$172,0)</f>
        <v>55</v>
      </c>
      <c r="AA7" s="15" t="str">
        <f aca="false">IF(X7="No","Hold – resolve flag",IF(Z7&lt;=Weights!$C$18,"Tier 1 – Flagship launch",IF(OR(Z7&lt;=Weights!$C$19,AF7="Yes"),"Tier 2 – Priority",IF(Z7&lt;=Weights!$C$20,"Tier 3 – Standard rotation","Tier 4 – Reserve"))))</f>
        <v>Tier 3 – Standard rotation</v>
      </c>
      <c r="AB7" s="18" t="s">
        <v>147</v>
      </c>
      <c r="AC7" s="27" t="s">
        <v>148</v>
      </c>
      <c r="AD7" s="18" t="s">
        <v>129</v>
      </c>
      <c r="AE7" s="15" t="s">
        <v>130</v>
      </c>
      <c r="AF7" s="23" t="s">
        <v>126</v>
      </c>
      <c r="AG7" s="29" t="n">
        <f aca="false">IF(OR(Z7&lt;=Weights!$C$19,AF7="Yes"),Y7,Y7-5000)</f>
        <v>-4936.80007</v>
      </c>
      <c r="AH7" s="15" t="str">
        <f aca="false">IF(OR(Z7&lt;=Weights!$C$19,AF7="Yes"),RANK(AG7,$AG$5:$AG$172,0),"")</f>
        <v/>
      </c>
    </row>
    <row r="8" customFormat="false" ht="35.05" hidden="false" customHeight="false" outlineLevel="0" collapsed="false">
      <c r="A8" s="18" t="s">
        <v>149</v>
      </c>
      <c r="B8" s="27" t="s">
        <v>150</v>
      </c>
      <c r="C8" s="18" t="s">
        <v>151</v>
      </c>
      <c r="D8" s="18" t="s">
        <v>144</v>
      </c>
      <c r="E8" s="18" t="s">
        <v>152</v>
      </c>
      <c r="F8" s="18" t="s">
        <v>153</v>
      </c>
      <c r="G8" s="15" t="n">
        <v>2021</v>
      </c>
      <c r="H8" s="15" t="s">
        <v>138</v>
      </c>
      <c r="I8" s="23" t="n">
        <v>5</v>
      </c>
      <c r="J8" s="23" t="n">
        <v>3</v>
      </c>
      <c r="K8" s="23" t="n">
        <v>2</v>
      </c>
      <c r="L8" s="23" t="n">
        <v>4</v>
      </c>
      <c r="M8" s="23" t="n">
        <v>0</v>
      </c>
      <c r="N8" s="23" t="n">
        <v>0</v>
      </c>
      <c r="O8" s="23" t="n">
        <v>2</v>
      </c>
      <c r="P8" s="23" t="n">
        <v>3.5</v>
      </c>
      <c r="Q8" s="23" t="n">
        <v>4.6</v>
      </c>
      <c r="R8" s="23" t="n">
        <v>1.8</v>
      </c>
      <c r="S8" s="23" t="n">
        <v>1</v>
      </c>
      <c r="T8" s="23" t="n">
        <v>0</v>
      </c>
      <c r="U8" s="18" t="s">
        <v>126</v>
      </c>
      <c r="V8" s="18"/>
      <c r="W8" s="28" t="n">
        <f aca="false">MIN(100,MAX(0,ROUND(SUMPRODUCT(I8:S8,$I$3:$S$3)/SUM($I$3:$S$3)/5*100+T8,1)))</f>
        <v>50.4</v>
      </c>
      <c r="X8" s="15" t="str">
        <f aca="false">IF(U8="Yes","No","Yes")</f>
        <v>Yes</v>
      </c>
      <c r="Y8" s="29" t="n">
        <f aca="false">IF(X8="Yes",W8,W8-1000)-ROW()/100000</f>
        <v>50.39992</v>
      </c>
      <c r="Z8" s="15" t="n">
        <f aca="false">RANK(Y8,$Y$5:$Y$172,0)</f>
        <v>143</v>
      </c>
      <c r="AA8" s="15" t="str">
        <f aca="false">IF(X8="No","Hold – resolve flag",IF(Z8&lt;=Weights!$C$18,"Tier 1 – Flagship launch",IF(OR(Z8&lt;=Weights!$C$19,AF8="Yes"),"Tier 2 – Priority",IF(Z8&lt;=Weights!$C$20,"Tier 3 – Standard rotation","Tier 4 – Reserve"))))</f>
        <v>Tier 4 – Reserve</v>
      </c>
      <c r="AB8" s="18" t="s">
        <v>154</v>
      </c>
      <c r="AC8" s="27" t="s">
        <v>155</v>
      </c>
      <c r="AD8" s="18" t="s">
        <v>156</v>
      </c>
      <c r="AE8" s="15" t="s">
        <v>130</v>
      </c>
      <c r="AF8" s="23" t="s">
        <v>126</v>
      </c>
      <c r="AG8" s="29" t="n">
        <f aca="false">IF(OR(Z8&lt;=Weights!$C$19,AF8="Yes"),Y8,Y8-5000)</f>
        <v>-4949.60008</v>
      </c>
      <c r="AH8" s="15" t="str">
        <f aca="false">IF(OR(Z8&lt;=Weights!$C$19,AF8="Yes"),RANK(AG8,$AG$5:$AG$172,0),"")</f>
        <v/>
      </c>
    </row>
    <row r="9" customFormat="false" ht="46.25" hidden="false" customHeight="false" outlineLevel="0" collapsed="false">
      <c r="A9" s="18" t="s">
        <v>157</v>
      </c>
      <c r="B9" s="27" t="s">
        <v>158</v>
      </c>
      <c r="C9" s="18" t="s">
        <v>159</v>
      </c>
      <c r="D9" s="18" t="s">
        <v>160</v>
      </c>
      <c r="E9" s="18" t="s">
        <v>161</v>
      </c>
      <c r="F9" s="18" t="s">
        <v>153</v>
      </c>
      <c r="G9" s="15" t="n">
        <v>2021</v>
      </c>
      <c r="H9" s="15" t="s">
        <v>138</v>
      </c>
      <c r="I9" s="23" t="n">
        <v>5</v>
      </c>
      <c r="J9" s="23" t="n">
        <v>0</v>
      </c>
      <c r="K9" s="23" t="n">
        <v>2</v>
      </c>
      <c r="L9" s="23" t="n">
        <v>0</v>
      </c>
      <c r="M9" s="23" t="n">
        <v>3</v>
      </c>
      <c r="N9" s="23" t="n">
        <v>0</v>
      </c>
      <c r="O9" s="23" t="n">
        <v>4</v>
      </c>
      <c r="P9" s="23" t="n">
        <v>3</v>
      </c>
      <c r="Q9" s="23" t="n">
        <v>4.2</v>
      </c>
      <c r="R9" s="23" t="n">
        <v>2</v>
      </c>
      <c r="S9" s="23" t="n">
        <v>2</v>
      </c>
      <c r="T9" s="23" t="n">
        <v>0</v>
      </c>
      <c r="U9" s="18" t="s">
        <v>131</v>
      </c>
      <c r="V9" s="18" t="s">
        <v>162</v>
      </c>
      <c r="W9" s="28" t="n">
        <f aca="false">MIN(100,MAX(0,ROUND(SUMPRODUCT(I9:S9,$I$3:$S$3)/SUM($I$3:$S$3)/5*100+T9,1)))</f>
        <v>44.1</v>
      </c>
      <c r="X9" s="15" t="str">
        <f aca="false">IF(U9="Yes","No","Yes")</f>
        <v>No</v>
      </c>
      <c r="Y9" s="29" t="n">
        <f aca="false">IF(X9="Yes",W9,W9-1000)-ROW()/100000</f>
        <v>-955.90009</v>
      </c>
      <c r="Z9" s="15" t="n">
        <f aca="false">RANK(Y9,$Y$5:$Y$172,0)</f>
        <v>166</v>
      </c>
      <c r="AA9" s="15" t="str">
        <f aca="false">IF(X9="No","Hold – resolve flag",IF(Z9&lt;=Weights!$C$18,"Tier 1 – Flagship launch",IF(OR(Z9&lt;=Weights!$C$19,AF9="Yes"),"Tier 2 – Priority",IF(Z9&lt;=Weights!$C$20,"Tier 3 – Standard rotation","Tier 4 – Reserve"))))</f>
        <v>Hold – resolve flag</v>
      </c>
      <c r="AB9" s="18" t="s">
        <v>163</v>
      </c>
      <c r="AC9" s="27" t="s">
        <v>164</v>
      </c>
      <c r="AD9" s="18" t="s">
        <v>156</v>
      </c>
      <c r="AE9" s="15" t="s">
        <v>130</v>
      </c>
      <c r="AF9" s="23" t="s">
        <v>126</v>
      </c>
      <c r="AG9" s="29" t="n">
        <f aca="false">IF(OR(Z9&lt;=Weights!$C$19,AF9="Yes"),Y9,Y9-5000)</f>
        <v>-5955.90009</v>
      </c>
      <c r="AH9" s="15" t="str">
        <f aca="false">IF(OR(Z9&lt;=Weights!$C$19,AF9="Yes"),RANK(AG9,$AG$5:$AG$172,0),"")</f>
        <v/>
      </c>
    </row>
    <row r="10" customFormat="false" ht="35.05" hidden="false" customHeight="false" outlineLevel="0" collapsed="false">
      <c r="A10" s="18" t="s">
        <v>165</v>
      </c>
      <c r="B10" s="27" t="s">
        <v>166</v>
      </c>
      <c r="C10" s="18" t="s">
        <v>167</v>
      </c>
      <c r="D10" s="18" t="s">
        <v>144</v>
      </c>
      <c r="E10" s="18" t="s">
        <v>168</v>
      </c>
      <c r="F10" s="18" t="s">
        <v>153</v>
      </c>
      <c r="G10" s="15" t="n">
        <v>2021</v>
      </c>
      <c r="H10" s="15" t="s">
        <v>138</v>
      </c>
      <c r="I10" s="23" t="n">
        <v>5</v>
      </c>
      <c r="J10" s="23" t="n">
        <v>3</v>
      </c>
      <c r="K10" s="23" t="n">
        <v>2</v>
      </c>
      <c r="L10" s="23" t="n">
        <v>4</v>
      </c>
      <c r="M10" s="23" t="n">
        <v>0</v>
      </c>
      <c r="N10" s="23" t="n">
        <v>0</v>
      </c>
      <c r="O10" s="23" t="n">
        <v>2</v>
      </c>
      <c r="P10" s="23" t="n">
        <v>1.5</v>
      </c>
      <c r="Q10" s="23" t="n">
        <v>3.9</v>
      </c>
      <c r="R10" s="23" t="n">
        <v>3.5</v>
      </c>
      <c r="S10" s="23" t="n">
        <v>1</v>
      </c>
      <c r="T10" s="23" t="n">
        <v>0</v>
      </c>
      <c r="U10" s="18" t="s">
        <v>126</v>
      </c>
      <c r="V10" s="18"/>
      <c r="W10" s="28" t="n">
        <f aca="false">MIN(100,MAX(0,ROUND(SUMPRODUCT(I10:S10,$I$3:$S$3)/SUM($I$3:$S$3)/5*100+T10,1)))</f>
        <v>51.1</v>
      </c>
      <c r="X10" s="15" t="str">
        <f aca="false">IF(U10="Yes","No","Yes")</f>
        <v>Yes</v>
      </c>
      <c r="Y10" s="29" t="n">
        <f aca="false">IF(X10="Yes",W10,W10-1000)-ROW()/100000</f>
        <v>51.0999</v>
      </c>
      <c r="Z10" s="15" t="n">
        <f aca="false">RANK(Y10,$Y$5:$Y$172,0)</f>
        <v>140</v>
      </c>
      <c r="AA10" s="15" t="str">
        <f aca="false">IF(X10="No","Hold – resolve flag",IF(Z10&lt;=Weights!$C$18,"Tier 1 – Flagship launch",IF(OR(Z10&lt;=Weights!$C$19,AF10="Yes"),"Tier 2 – Priority",IF(Z10&lt;=Weights!$C$20,"Tier 3 – Standard rotation","Tier 4 – Reserve"))))</f>
        <v>Tier 4 – Reserve</v>
      </c>
      <c r="AB10" s="18" t="s">
        <v>169</v>
      </c>
      <c r="AC10" s="27" t="s">
        <v>170</v>
      </c>
      <c r="AD10" s="18" t="s">
        <v>129</v>
      </c>
      <c r="AE10" s="15" t="s">
        <v>130</v>
      </c>
      <c r="AF10" s="23" t="s">
        <v>126</v>
      </c>
      <c r="AG10" s="29" t="n">
        <f aca="false">IF(OR(Z10&lt;=Weights!$C$19,AF10="Yes"),Y10,Y10-5000)</f>
        <v>-4948.9001</v>
      </c>
      <c r="AH10" s="15" t="str">
        <f aca="false">IF(OR(Z10&lt;=Weights!$C$19,AF10="Yes"),RANK(AG10,$AG$5:$AG$172,0),"")</f>
        <v/>
      </c>
    </row>
    <row r="11" customFormat="false" ht="35.05" hidden="false" customHeight="false" outlineLevel="0" collapsed="false">
      <c r="A11" s="18" t="s">
        <v>171</v>
      </c>
      <c r="B11" s="27" t="s">
        <v>172</v>
      </c>
      <c r="C11" s="18" t="s">
        <v>173</v>
      </c>
      <c r="D11" s="18" t="s">
        <v>174</v>
      </c>
      <c r="E11" s="18" t="s">
        <v>175</v>
      </c>
      <c r="F11" s="18" t="s">
        <v>153</v>
      </c>
      <c r="G11" s="15" t="n">
        <v>2022</v>
      </c>
      <c r="H11" s="15" t="n">
        <v>2</v>
      </c>
      <c r="I11" s="23" t="n">
        <v>2</v>
      </c>
      <c r="J11" s="23" t="n">
        <v>4</v>
      </c>
      <c r="K11" s="23" t="n">
        <v>5</v>
      </c>
      <c r="L11" s="23" t="n">
        <v>5</v>
      </c>
      <c r="M11" s="23" t="n">
        <v>4</v>
      </c>
      <c r="N11" s="23" t="n">
        <v>0</v>
      </c>
      <c r="O11" s="23" t="n">
        <v>2</v>
      </c>
      <c r="P11" s="23" t="n">
        <v>3</v>
      </c>
      <c r="Q11" s="23" t="n">
        <v>3.6</v>
      </c>
      <c r="R11" s="23" t="n">
        <v>3.5</v>
      </c>
      <c r="S11" s="23" t="n">
        <v>3</v>
      </c>
      <c r="T11" s="23" t="n">
        <v>0</v>
      </c>
      <c r="U11" s="18" t="s">
        <v>126</v>
      </c>
      <c r="V11" s="18"/>
      <c r="W11" s="28" t="n">
        <f aca="false">MIN(100,MAX(0,ROUND(SUMPRODUCT(I11:S11,$I$3:$S$3)/SUM($I$3:$S$3)/5*100+T11,1)))</f>
        <v>66.3</v>
      </c>
      <c r="X11" s="15" t="str">
        <f aca="false">IF(U11="Yes","No","Yes")</f>
        <v>Yes</v>
      </c>
      <c r="Y11" s="29" t="n">
        <f aca="false">IF(X11="Yes",W11,W11-1000)-ROW()/100000</f>
        <v>66.29989</v>
      </c>
      <c r="Z11" s="15" t="n">
        <f aca="false">RANK(Y11,$Y$5:$Y$172,0)</f>
        <v>36</v>
      </c>
      <c r="AA11" s="15" t="str">
        <f aca="false">IF(X11="No","Hold – resolve flag",IF(Z11&lt;=Weights!$C$18,"Tier 1 – Flagship launch",IF(OR(Z11&lt;=Weights!$C$19,AF11="Yes"),"Tier 2 – Priority",IF(Z11&lt;=Weights!$C$20,"Tier 3 – Standard rotation","Tier 4 – Reserve"))))</f>
        <v>Tier 3 – Standard rotation</v>
      </c>
      <c r="AB11" s="18" t="s">
        <v>176</v>
      </c>
      <c r="AC11" s="27" t="s">
        <v>177</v>
      </c>
      <c r="AD11" s="18" t="s">
        <v>178</v>
      </c>
      <c r="AE11" s="15" t="s">
        <v>130</v>
      </c>
      <c r="AF11" s="23" t="s">
        <v>126</v>
      </c>
      <c r="AG11" s="29" t="n">
        <f aca="false">IF(OR(Z11&lt;=Weights!$C$19,AF11="Yes"),Y11,Y11-5000)</f>
        <v>-4933.70011</v>
      </c>
      <c r="AH11" s="15" t="str">
        <f aca="false">IF(OR(Z11&lt;=Weights!$C$19,AF11="Yes"),RANK(AG11,$AG$5:$AG$172,0),"")</f>
        <v/>
      </c>
    </row>
    <row r="12" customFormat="false" ht="35.05" hidden="false" customHeight="false" outlineLevel="0" collapsed="false">
      <c r="A12" s="18" t="s">
        <v>179</v>
      </c>
      <c r="B12" s="27" t="s">
        <v>180</v>
      </c>
      <c r="C12" s="18" t="s">
        <v>181</v>
      </c>
      <c r="D12" s="18" t="s">
        <v>144</v>
      </c>
      <c r="E12" s="18" t="s">
        <v>182</v>
      </c>
      <c r="F12" s="18" t="s">
        <v>183</v>
      </c>
      <c r="G12" s="15" t="n">
        <v>2022</v>
      </c>
      <c r="H12" s="15" t="s">
        <v>138</v>
      </c>
      <c r="I12" s="23" t="n">
        <v>5</v>
      </c>
      <c r="J12" s="23" t="n">
        <v>3</v>
      </c>
      <c r="K12" s="23" t="n">
        <v>2</v>
      </c>
      <c r="L12" s="23" t="n">
        <v>4</v>
      </c>
      <c r="M12" s="23" t="n">
        <v>0</v>
      </c>
      <c r="N12" s="23" t="n">
        <v>0</v>
      </c>
      <c r="O12" s="23" t="n">
        <v>2</v>
      </c>
      <c r="P12" s="23" t="n">
        <v>2.2</v>
      </c>
      <c r="Q12" s="23" t="n">
        <v>4.3</v>
      </c>
      <c r="R12" s="23" t="n">
        <v>1.8</v>
      </c>
      <c r="S12" s="23" t="n">
        <v>2</v>
      </c>
      <c r="T12" s="23" t="n">
        <v>0</v>
      </c>
      <c r="U12" s="18" t="s">
        <v>126</v>
      </c>
      <c r="V12" s="18"/>
      <c r="W12" s="28" t="n">
        <f aca="false">MIN(100,MAX(0,ROUND(SUMPRODUCT(I12:S12,$I$3:$S$3)/SUM($I$3:$S$3)/5*100+T12,1)))</f>
        <v>49.4</v>
      </c>
      <c r="X12" s="15" t="str">
        <f aca="false">IF(U12="Yes","No","Yes")</f>
        <v>Yes</v>
      </c>
      <c r="Y12" s="29" t="n">
        <f aca="false">IF(X12="Yes",W12,W12-1000)-ROW()/100000</f>
        <v>49.39988</v>
      </c>
      <c r="Z12" s="15" t="n">
        <f aca="false">RANK(Y12,$Y$5:$Y$172,0)</f>
        <v>146</v>
      </c>
      <c r="AA12" s="15" t="str">
        <f aca="false">IF(X12="No","Hold – resolve flag",IF(Z12&lt;=Weights!$C$18,"Tier 1 – Flagship launch",IF(OR(Z12&lt;=Weights!$C$19,AF12="Yes"),"Tier 2 – Priority",IF(Z12&lt;=Weights!$C$20,"Tier 3 – Standard rotation","Tier 4 – Reserve"))))</f>
        <v>Tier 4 – Reserve</v>
      </c>
      <c r="AB12" s="18" t="s">
        <v>184</v>
      </c>
      <c r="AC12" s="27" t="s">
        <v>185</v>
      </c>
      <c r="AD12" s="18" t="s">
        <v>156</v>
      </c>
      <c r="AE12" s="15" t="s">
        <v>130</v>
      </c>
      <c r="AF12" s="23" t="s">
        <v>126</v>
      </c>
      <c r="AG12" s="29" t="n">
        <f aca="false">IF(OR(Z12&lt;=Weights!$C$19,AF12="Yes"),Y12,Y12-5000)</f>
        <v>-4950.60012</v>
      </c>
      <c r="AH12" s="15" t="str">
        <f aca="false">IF(OR(Z12&lt;=Weights!$C$19,AF12="Yes"),RANK(AG12,$AG$5:$AG$172,0),"")</f>
        <v/>
      </c>
    </row>
    <row r="13" customFormat="false" ht="35.05" hidden="false" customHeight="false" outlineLevel="0" collapsed="false">
      <c r="A13" s="18" t="s">
        <v>186</v>
      </c>
      <c r="B13" s="27" t="s">
        <v>187</v>
      </c>
      <c r="C13" s="18" t="s">
        <v>188</v>
      </c>
      <c r="D13" s="18" t="s">
        <v>189</v>
      </c>
      <c r="E13" s="18" t="s">
        <v>190</v>
      </c>
      <c r="F13" s="18" t="s">
        <v>153</v>
      </c>
      <c r="G13" s="15" t="n">
        <v>2022</v>
      </c>
      <c r="H13" s="15" t="s">
        <v>138</v>
      </c>
      <c r="I13" s="23" t="n">
        <v>5</v>
      </c>
      <c r="J13" s="23" t="n">
        <v>5</v>
      </c>
      <c r="K13" s="23" t="n">
        <v>2</v>
      </c>
      <c r="L13" s="23" t="n">
        <v>5</v>
      </c>
      <c r="M13" s="23" t="n">
        <v>0</v>
      </c>
      <c r="N13" s="23" t="n">
        <v>0</v>
      </c>
      <c r="O13" s="23" t="n">
        <v>2</v>
      </c>
      <c r="P13" s="23" t="n">
        <v>3</v>
      </c>
      <c r="Q13" s="23" t="n">
        <v>3.6</v>
      </c>
      <c r="R13" s="23" t="n">
        <v>1.8</v>
      </c>
      <c r="S13" s="23" t="n">
        <v>3</v>
      </c>
      <c r="T13" s="23" t="n">
        <v>0</v>
      </c>
      <c r="U13" s="18" t="s">
        <v>126</v>
      </c>
      <c r="V13" s="18"/>
      <c r="W13" s="28" t="n">
        <f aca="false">MIN(100,MAX(0,ROUND(SUMPRODUCT(I13:S13,$I$3:$S$3)/SUM($I$3:$S$3)/5*100+T13,1)))</f>
        <v>58</v>
      </c>
      <c r="X13" s="15" t="str">
        <f aca="false">IF(U13="Yes","No","Yes")</f>
        <v>Yes</v>
      </c>
      <c r="Y13" s="29" t="n">
        <f aca="false">IF(X13="Yes",W13,W13-1000)-ROW()/100000</f>
        <v>57.99987</v>
      </c>
      <c r="Z13" s="15" t="n">
        <f aca="false">RANK(Y13,$Y$5:$Y$172,0)</f>
        <v>99</v>
      </c>
      <c r="AA13" s="15" t="str">
        <f aca="false">IF(X13="No","Hold – resolve flag",IF(Z13&lt;=Weights!$C$18,"Tier 1 – Flagship launch",IF(OR(Z13&lt;=Weights!$C$19,AF13="Yes"),"Tier 2 – Priority",IF(Z13&lt;=Weights!$C$20,"Tier 3 – Standard rotation","Tier 4 – Reserve"))))</f>
        <v>Tier 4 – Reserve</v>
      </c>
      <c r="AB13" s="18" t="s">
        <v>191</v>
      </c>
      <c r="AC13" s="27" t="s">
        <v>192</v>
      </c>
      <c r="AD13" s="18" t="s">
        <v>193</v>
      </c>
      <c r="AE13" s="15" t="s">
        <v>130</v>
      </c>
      <c r="AF13" s="23" t="s">
        <v>126</v>
      </c>
      <c r="AG13" s="29" t="n">
        <f aca="false">IF(OR(Z13&lt;=Weights!$C$19,AF13="Yes"),Y13,Y13-5000)</f>
        <v>-4942.00013</v>
      </c>
      <c r="AH13" s="15" t="str">
        <f aca="false">IF(OR(Z13&lt;=Weights!$C$19,AF13="Yes"),RANK(AG13,$AG$5:$AG$172,0),"")</f>
        <v/>
      </c>
    </row>
    <row r="14" customFormat="false" ht="35.05" hidden="false" customHeight="false" outlineLevel="0" collapsed="false">
      <c r="A14" s="18" t="s">
        <v>194</v>
      </c>
      <c r="B14" s="27" t="s">
        <v>195</v>
      </c>
      <c r="C14" s="18" t="s">
        <v>196</v>
      </c>
      <c r="D14" s="18" t="s">
        <v>197</v>
      </c>
      <c r="E14" s="18" t="s">
        <v>198</v>
      </c>
      <c r="F14" s="18" t="s">
        <v>153</v>
      </c>
      <c r="G14" s="15" t="n">
        <v>2022</v>
      </c>
      <c r="H14" s="15" t="s">
        <v>138</v>
      </c>
      <c r="I14" s="23" t="n">
        <v>4</v>
      </c>
      <c r="J14" s="23" t="n">
        <v>4</v>
      </c>
      <c r="K14" s="23" t="n">
        <v>2</v>
      </c>
      <c r="L14" s="23" t="n">
        <v>5</v>
      </c>
      <c r="M14" s="23" t="n">
        <v>5</v>
      </c>
      <c r="N14" s="23" t="n">
        <v>0</v>
      </c>
      <c r="O14" s="23" t="n">
        <v>3</v>
      </c>
      <c r="P14" s="23" t="n">
        <v>3</v>
      </c>
      <c r="Q14" s="23" t="n">
        <v>3.6</v>
      </c>
      <c r="R14" s="23" t="n">
        <v>1</v>
      </c>
      <c r="S14" s="23" t="n">
        <v>3</v>
      </c>
      <c r="T14" s="23" t="n">
        <v>0</v>
      </c>
      <c r="U14" s="18" t="s">
        <v>126</v>
      </c>
      <c r="V14" s="18"/>
      <c r="W14" s="28" t="n">
        <f aca="false">MIN(100,MAX(0,ROUND(SUMPRODUCT(I14:S14,$I$3:$S$3)/SUM($I$3:$S$3)/5*100+T14,1)))</f>
        <v>60.6</v>
      </c>
      <c r="X14" s="15" t="str">
        <f aca="false">IF(U14="Yes","No","Yes")</f>
        <v>Yes</v>
      </c>
      <c r="Y14" s="29" t="n">
        <f aca="false">IF(X14="Yes",W14,W14-1000)-ROW()/100000</f>
        <v>60.59986</v>
      </c>
      <c r="Z14" s="15" t="n">
        <f aca="false">RANK(Y14,$Y$5:$Y$172,0)</f>
        <v>77</v>
      </c>
      <c r="AA14" s="15" t="str">
        <f aca="false">IF(X14="No","Hold – resolve flag",IF(Z14&lt;=Weights!$C$18,"Tier 1 – Flagship launch",IF(OR(Z14&lt;=Weights!$C$19,AF14="Yes"),"Tier 2 – Priority",IF(Z14&lt;=Weights!$C$20,"Tier 3 – Standard rotation","Tier 4 – Reserve"))))</f>
        <v>Tier 3 – Standard rotation</v>
      </c>
      <c r="AB14" s="18" t="s">
        <v>199</v>
      </c>
      <c r="AC14" s="27" t="s">
        <v>200</v>
      </c>
      <c r="AD14" s="18" t="s">
        <v>193</v>
      </c>
      <c r="AE14" s="15" t="s">
        <v>130</v>
      </c>
      <c r="AF14" s="23" t="s">
        <v>126</v>
      </c>
      <c r="AG14" s="29" t="n">
        <f aca="false">IF(OR(Z14&lt;=Weights!$C$19,AF14="Yes"),Y14,Y14-5000)</f>
        <v>-4939.40014</v>
      </c>
      <c r="AH14" s="15" t="str">
        <f aca="false">IF(OR(Z14&lt;=Weights!$C$19,AF14="Yes"),RANK(AG14,$AG$5:$AG$172,0),"")</f>
        <v/>
      </c>
    </row>
    <row r="15" customFormat="false" ht="35.05" hidden="false" customHeight="false" outlineLevel="0" collapsed="false">
      <c r="A15" s="18" t="s">
        <v>201</v>
      </c>
      <c r="B15" s="27" t="s">
        <v>202</v>
      </c>
      <c r="C15" s="18" t="s">
        <v>203</v>
      </c>
      <c r="D15" s="18" t="s">
        <v>144</v>
      </c>
      <c r="E15" s="18" t="s">
        <v>204</v>
      </c>
      <c r="F15" s="18" t="s">
        <v>205</v>
      </c>
      <c r="G15" s="15" t="n">
        <v>2023</v>
      </c>
      <c r="H15" s="15" t="s">
        <v>138</v>
      </c>
      <c r="I15" s="23" t="n">
        <v>5</v>
      </c>
      <c r="J15" s="23" t="n">
        <v>3</v>
      </c>
      <c r="K15" s="23" t="n">
        <v>2</v>
      </c>
      <c r="L15" s="23" t="n">
        <v>4</v>
      </c>
      <c r="M15" s="23" t="n">
        <v>0</v>
      </c>
      <c r="N15" s="23" t="n">
        <v>0</v>
      </c>
      <c r="O15" s="23" t="n">
        <v>2</v>
      </c>
      <c r="P15" s="23" t="n">
        <v>2.2</v>
      </c>
      <c r="Q15" s="23" t="n">
        <v>4</v>
      </c>
      <c r="R15" s="23" t="n">
        <v>1.5</v>
      </c>
      <c r="S15" s="23" t="n">
        <v>2</v>
      </c>
      <c r="T15" s="23" t="n">
        <v>0</v>
      </c>
      <c r="U15" s="18" t="s">
        <v>126</v>
      </c>
      <c r="V15" s="18"/>
      <c r="W15" s="28" t="n">
        <f aca="false">MIN(100,MAX(0,ROUND(SUMPRODUCT(I15:S15,$I$3:$S$3)/SUM($I$3:$S$3)/5*100+T15,1)))</f>
        <v>48</v>
      </c>
      <c r="X15" s="15" t="str">
        <f aca="false">IF(U15="Yes","No","Yes")</f>
        <v>Yes</v>
      </c>
      <c r="Y15" s="29" t="n">
        <f aca="false">IF(X15="Yes",W15,W15-1000)-ROW()/100000</f>
        <v>47.99985</v>
      </c>
      <c r="Z15" s="15" t="n">
        <f aca="false">RANK(Y15,$Y$5:$Y$172,0)</f>
        <v>150</v>
      </c>
      <c r="AA15" s="15" t="str">
        <f aca="false">IF(X15="No","Hold – resolve flag",IF(Z15&lt;=Weights!$C$18,"Tier 1 – Flagship launch",IF(OR(Z15&lt;=Weights!$C$19,AF15="Yes"),"Tier 2 – Priority",IF(Z15&lt;=Weights!$C$20,"Tier 3 – Standard rotation","Tier 4 – Reserve"))))</f>
        <v>Tier 4 – Reserve</v>
      </c>
      <c r="AB15" s="18" t="s">
        <v>206</v>
      </c>
      <c r="AC15" s="27" t="s">
        <v>207</v>
      </c>
      <c r="AD15" s="18" t="s">
        <v>156</v>
      </c>
      <c r="AE15" s="15" t="s">
        <v>130</v>
      </c>
      <c r="AF15" s="23" t="s">
        <v>126</v>
      </c>
      <c r="AG15" s="29" t="n">
        <f aca="false">IF(OR(Z15&lt;=Weights!$C$19,AF15="Yes"),Y15,Y15-5000)</f>
        <v>-4952.00015</v>
      </c>
      <c r="AH15" s="15" t="str">
        <f aca="false">IF(OR(Z15&lt;=Weights!$C$19,AF15="Yes"),RANK(AG15,$AG$5:$AG$172,0),"")</f>
        <v/>
      </c>
    </row>
    <row r="16" customFormat="false" ht="35.05" hidden="false" customHeight="false" outlineLevel="0" collapsed="false">
      <c r="A16" s="18" t="s">
        <v>208</v>
      </c>
      <c r="B16" s="27" t="s">
        <v>209</v>
      </c>
      <c r="C16" s="18" t="s">
        <v>210</v>
      </c>
      <c r="D16" s="18" t="s">
        <v>211</v>
      </c>
      <c r="E16" s="18" t="s">
        <v>212</v>
      </c>
      <c r="F16" s="18" t="s">
        <v>213</v>
      </c>
      <c r="G16" s="15" t="n">
        <v>2023</v>
      </c>
      <c r="H16" s="15" t="n">
        <v>11</v>
      </c>
      <c r="I16" s="23" t="n">
        <v>2</v>
      </c>
      <c r="J16" s="23" t="n">
        <v>5</v>
      </c>
      <c r="K16" s="23" t="n">
        <v>1</v>
      </c>
      <c r="L16" s="23" t="n">
        <v>5</v>
      </c>
      <c r="M16" s="23" t="n">
        <v>5</v>
      </c>
      <c r="N16" s="23" t="n">
        <v>0</v>
      </c>
      <c r="O16" s="23" t="n">
        <v>3</v>
      </c>
      <c r="P16" s="23" t="n">
        <v>3.5</v>
      </c>
      <c r="Q16" s="23" t="n">
        <v>5</v>
      </c>
      <c r="R16" s="23" t="n">
        <v>4.2</v>
      </c>
      <c r="S16" s="23" t="n">
        <v>5</v>
      </c>
      <c r="T16" s="23" t="n">
        <v>0</v>
      </c>
      <c r="U16" s="18" t="s">
        <v>126</v>
      </c>
      <c r="V16" s="18"/>
      <c r="W16" s="28" t="n">
        <f aca="false">MIN(100,MAX(0,ROUND(SUMPRODUCT(I16:S16,$I$3:$S$3)/SUM($I$3:$S$3)/5*100+T16,1)))</f>
        <v>74</v>
      </c>
      <c r="X16" s="15" t="str">
        <f aca="false">IF(U16="Yes","No","Yes")</f>
        <v>Yes</v>
      </c>
      <c r="Y16" s="29" t="n">
        <f aca="false">IF(X16="Yes",W16,W16-1000)-ROW()/100000</f>
        <v>73.99984</v>
      </c>
      <c r="Z16" s="15" t="n">
        <f aca="false">RANK(Y16,$Y$5:$Y$172,0)</f>
        <v>6</v>
      </c>
      <c r="AA16" s="15" t="str">
        <f aca="false">IF(X16="No","Hold – resolve flag",IF(Z16&lt;=Weights!$C$18,"Tier 1 – Flagship launch",IF(OR(Z16&lt;=Weights!$C$19,AF16="Yes"),"Tier 2 – Priority",IF(Z16&lt;=Weights!$C$20,"Tier 3 – Standard rotation","Tier 4 – Reserve"))))</f>
        <v>Tier 1 – Flagship launch</v>
      </c>
      <c r="AB16" s="18" t="s">
        <v>214</v>
      </c>
      <c r="AC16" s="27" t="s">
        <v>215</v>
      </c>
      <c r="AD16" s="18" t="s">
        <v>216</v>
      </c>
      <c r="AE16" s="15" t="s">
        <v>217</v>
      </c>
      <c r="AF16" s="23" t="s">
        <v>131</v>
      </c>
      <c r="AG16" s="29" t="n">
        <f aca="false">IF(OR(Z16&lt;=Weights!$C$19,AF16="Yes"),Y16,Y16-5000)</f>
        <v>73.99984</v>
      </c>
      <c r="AH16" s="15" t="n">
        <f aca="false">IF(OR(Z16&lt;=Weights!$C$19,AF16="Yes"),RANK(AG16,$AG$5:$AG$172,0),"")</f>
        <v>6</v>
      </c>
    </row>
    <row r="17" customFormat="false" ht="35.05" hidden="false" customHeight="false" outlineLevel="0" collapsed="false">
      <c r="A17" s="18" t="s">
        <v>218</v>
      </c>
      <c r="B17" s="27" t="s">
        <v>219</v>
      </c>
      <c r="C17" s="18" t="s">
        <v>220</v>
      </c>
      <c r="D17" s="18" t="s">
        <v>144</v>
      </c>
      <c r="E17" s="18" t="s">
        <v>221</v>
      </c>
      <c r="F17" s="18" t="s">
        <v>213</v>
      </c>
      <c r="G17" s="15" t="n">
        <v>2023</v>
      </c>
      <c r="H17" s="15" t="s">
        <v>138</v>
      </c>
      <c r="I17" s="23" t="n">
        <v>2</v>
      </c>
      <c r="J17" s="23" t="n">
        <v>3</v>
      </c>
      <c r="K17" s="23" t="n">
        <v>2</v>
      </c>
      <c r="L17" s="23" t="n">
        <v>4</v>
      </c>
      <c r="M17" s="23" t="n">
        <v>0</v>
      </c>
      <c r="N17" s="23" t="n">
        <v>0</v>
      </c>
      <c r="O17" s="23" t="n">
        <v>5</v>
      </c>
      <c r="P17" s="23" t="n">
        <v>4.2</v>
      </c>
      <c r="Q17" s="23" t="n">
        <v>3</v>
      </c>
      <c r="R17" s="23" t="n">
        <v>1.5</v>
      </c>
      <c r="S17" s="23" t="n">
        <v>4</v>
      </c>
      <c r="T17" s="23" t="n">
        <v>0</v>
      </c>
      <c r="U17" s="18" t="s">
        <v>126</v>
      </c>
      <c r="V17" s="18"/>
      <c r="W17" s="28" t="n">
        <f aca="false">MIN(100,MAX(0,ROUND(SUMPRODUCT(I17:S17,$I$3:$S$3)/SUM($I$3:$S$3)/5*100+T17,1)))</f>
        <v>54</v>
      </c>
      <c r="X17" s="15" t="str">
        <f aca="false">IF(U17="Yes","No","Yes")</f>
        <v>Yes</v>
      </c>
      <c r="Y17" s="29" t="n">
        <f aca="false">IF(X17="Yes",W17,W17-1000)-ROW()/100000</f>
        <v>53.99983</v>
      </c>
      <c r="Z17" s="15" t="n">
        <f aca="false">RANK(Y17,$Y$5:$Y$172,0)</f>
        <v>129</v>
      </c>
      <c r="AA17" s="15" t="str">
        <f aca="false">IF(X17="No","Hold – resolve flag",IF(Z17&lt;=Weights!$C$18,"Tier 1 – Flagship launch",IF(OR(Z17&lt;=Weights!$C$19,AF17="Yes"),"Tier 2 – Priority",IF(Z17&lt;=Weights!$C$20,"Tier 3 – Standard rotation","Tier 4 – Reserve"))))</f>
        <v>Tier 4 – Reserve</v>
      </c>
      <c r="AB17" s="18" t="s">
        <v>222</v>
      </c>
      <c r="AC17" s="27" t="s">
        <v>223</v>
      </c>
      <c r="AD17" s="18" t="s">
        <v>224</v>
      </c>
      <c r="AE17" s="15" t="s">
        <v>130</v>
      </c>
      <c r="AF17" s="23" t="s">
        <v>126</v>
      </c>
      <c r="AG17" s="29" t="n">
        <f aca="false">IF(OR(Z17&lt;=Weights!$C$19,AF17="Yes"),Y17,Y17-5000)</f>
        <v>-4946.00017</v>
      </c>
      <c r="AH17" s="15" t="str">
        <f aca="false">IF(OR(Z17&lt;=Weights!$C$19,AF17="Yes"),RANK(AG17,$AG$5:$AG$172,0),"")</f>
        <v/>
      </c>
    </row>
    <row r="18" customFormat="false" ht="35.05" hidden="false" customHeight="false" outlineLevel="0" collapsed="false">
      <c r="A18" s="18" t="s">
        <v>225</v>
      </c>
      <c r="B18" s="27" t="s">
        <v>226</v>
      </c>
      <c r="C18" s="18" t="s">
        <v>227</v>
      </c>
      <c r="D18" s="18" t="s">
        <v>228</v>
      </c>
      <c r="E18" s="18" t="s">
        <v>229</v>
      </c>
      <c r="F18" s="18" t="s">
        <v>153</v>
      </c>
      <c r="G18" s="15" t="n">
        <v>2023</v>
      </c>
      <c r="H18" s="15" t="s">
        <v>138</v>
      </c>
      <c r="I18" s="23" t="n">
        <v>5</v>
      </c>
      <c r="J18" s="23" t="n">
        <v>4</v>
      </c>
      <c r="K18" s="23" t="n">
        <v>2</v>
      </c>
      <c r="L18" s="23" t="n">
        <v>5</v>
      </c>
      <c r="M18" s="23" t="n">
        <v>3</v>
      </c>
      <c r="N18" s="23" t="n">
        <v>0</v>
      </c>
      <c r="O18" s="23" t="n">
        <v>3</v>
      </c>
      <c r="P18" s="23" t="n">
        <v>3</v>
      </c>
      <c r="Q18" s="23" t="n">
        <v>5</v>
      </c>
      <c r="R18" s="23" t="n">
        <v>1.8</v>
      </c>
      <c r="S18" s="23" t="n">
        <v>3</v>
      </c>
      <c r="T18" s="23" t="n">
        <v>0</v>
      </c>
      <c r="U18" s="18" t="s">
        <v>126</v>
      </c>
      <c r="V18" s="18"/>
      <c r="W18" s="28" t="n">
        <f aca="false">MIN(100,MAX(0,ROUND(SUMPRODUCT(I18:S18,$I$3:$S$3)/SUM($I$3:$S$3)/5*100+T18,1)))</f>
        <v>64</v>
      </c>
      <c r="X18" s="15" t="str">
        <f aca="false">IF(U18="Yes","No","Yes")</f>
        <v>Yes</v>
      </c>
      <c r="Y18" s="29" t="n">
        <f aca="false">IF(X18="Yes",W18,W18-1000)-ROW()/100000</f>
        <v>63.99982</v>
      </c>
      <c r="Z18" s="15" t="n">
        <f aca="false">RANK(Y18,$Y$5:$Y$172,0)</f>
        <v>51</v>
      </c>
      <c r="AA18" s="15" t="str">
        <f aca="false">IF(X18="No","Hold – resolve flag",IF(Z18&lt;=Weights!$C$18,"Tier 1 – Flagship launch",IF(OR(Z18&lt;=Weights!$C$19,AF18="Yes"),"Tier 2 – Priority",IF(Z18&lt;=Weights!$C$20,"Tier 3 – Standard rotation","Tier 4 – Reserve"))))</f>
        <v>Tier 3 – Standard rotation</v>
      </c>
      <c r="AB18" s="18" t="s">
        <v>230</v>
      </c>
      <c r="AC18" s="27" t="s">
        <v>231</v>
      </c>
      <c r="AD18" s="18" t="s">
        <v>156</v>
      </c>
      <c r="AE18" s="15" t="s">
        <v>130</v>
      </c>
      <c r="AF18" s="23" t="s">
        <v>126</v>
      </c>
      <c r="AG18" s="29" t="n">
        <f aca="false">IF(OR(Z18&lt;=Weights!$C$19,AF18="Yes"),Y18,Y18-5000)</f>
        <v>-4936.00018</v>
      </c>
      <c r="AH18" s="15" t="str">
        <f aca="false">IF(OR(Z18&lt;=Weights!$C$19,AF18="Yes"),RANK(AG18,$AG$5:$AG$172,0),"")</f>
        <v/>
      </c>
    </row>
    <row r="19" customFormat="false" ht="35.05" hidden="false" customHeight="false" outlineLevel="0" collapsed="false">
      <c r="A19" s="18" t="s">
        <v>232</v>
      </c>
      <c r="B19" s="27" t="s">
        <v>233</v>
      </c>
      <c r="C19" s="18" t="s">
        <v>234</v>
      </c>
      <c r="D19" s="18" t="s">
        <v>235</v>
      </c>
      <c r="E19" s="18" t="s">
        <v>236</v>
      </c>
      <c r="F19" s="18" t="s">
        <v>153</v>
      </c>
      <c r="G19" s="15" t="n">
        <v>2023</v>
      </c>
      <c r="H19" s="15" t="n">
        <v>2</v>
      </c>
      <c r="I19" s="23" t="n">
        <v>4</v>
      </c>
      <c r="J19" s="23" t="n">
        <v>2</v>
      </c>
      <c r="K19" s="23" t="n">
        <v>5</v>
      </c>
      <c r="L19" s="23" t="n">
        <v>5</v>
      </c>
      <c r="M19" s="23" t="n">
        <v>0</v>
      </c>
      <c r="N19" s="23" t="n">
        <v>0</v>
      </c>
      <c r="O19" s="23" t="n">
        <v>2</v>
      </c>
      <c r="P19" s="23" t="n">
        <v>3</v>
      </c>
      <c r="Q19" s="23" t="n">
        <v>4</v>
      </c>
      <c r="R19" s="23" t="n">
        <v>2.5</v>
      </c>
      <c r="S19" s="23" t="n">
        <v>3</v>
      </c>
      <c r="T19" s="23" t="n">
        <v>0</v>
      </c>
      <c r="U19" s="18" t="s">
        <v>126</v>
      </c>
      <c r="V19" s="18"/>
      <c r="W19" s="28" t="n">
        <f aca="false">MIN(100,MAX(0,ROUND(SUMPRODUCT(I19:S19,$I$3:$S$3)/SUM($I$3:$S$3)/5*100+T19,1)))</f>
        <v>56.7</v>
      </c>
      <c r="X19" s="15" t="str">
        <f aca="false">IF(U19="Yes","No","Yes")</f>
        <v>Yes</v>
      </c>
      <c r="Y19" s="29" t="n">
        <f aca="false">IF(X19="Yes",W19,W19-1000)-ROW()/100000</f>
        <v>56.69981</v>
      </c>
      <c r="Z19" s="15" t="n">
        <f aca="false">RANK(Y19,$Y$5:$Y$172,0)</f>
        <v>107</v>
      </c>
      <c r="AA19" s="15" t="str">
        <f aca="false">IF(X19="No","Hold – resolve flag",IF(Z19&lt;=Weights!$C$18,"Tier 1 – Flagship launch",IF(OR(Z19&lt;=Weights!$C$19,AF19="Yes"),"Tier 2 – Priority",IF(Z19&lt;=Weights!$C$20,"Tier 3 – Standard rotation","Tier 4 – Reserve"))))</f>
        <v>Tier 4 – Reserve</v>
      </c>
      <c r="AB19" s="18" t="s">
        <v>237</v>
      </c>
      <c r="AC19" s="27" t="s">
        <v>238</v>
      </c>
      <c r="AD19" s="18" t="s">
        <v>178</v>
      </c>
      <c r="AE19" s="15" t="s">
        <v>130</v>
      </c>
      <c r="AF19" s="23" t="s">
        <v>126</v>
      </c>
      <c r="AG19" s="29" t="n">
        <f aca="false">IF(OR(Z19&lt;=Weights!$C$19,AF19="Yes"),Y19,Y19-5000)</f>
        <v>-4943.30019</v>
      </c>
      <c r="AH19" s="15" t="str">
        <f aca="false">IF(OR(Z19&lt;=Weights!$C$19,AF19="Yes"),RANK(AG19,$AG$5:$AG$172,0),"")</f>
        <v/>
      </c>
    </row>
    <row r="20" customFormat="false" ht="35.05" hidden="false" customHeight="false" outlineLevel="0" collapsed="false">
      <c r="A20" s="18" t="s">
        <v>239</v>
      </c>
      <c r="B20" s="27" t="s">
        <v>240</v>
      </c>
      <c r="C20" s="18" t="s">
        <v>241</v>
      </c>
      <c r="D20" s="18" t="s">
        <v>144</v>
      </c>
      <c r="E20" s="18" t="s">
        <v>242</v>
      </c>
      <c r="F20" s="18" t="s">
        <v>213</v>
      </c>
      <c r="G20" s="15" t="n">
        <v>2023</v>
      </c>
      <c r="H20" s="15" t="s">
        <v>138</v>
      </c>
      <c r="I20" s="23" t="n">
        <v>5</v>
      </c>
      <c r="J20" s="23" t="n">
        <v>3</v>
      </c>
      <c r="K20" s="23" t="n">
        <v>2</v>
      </c>
      <c r="L20" s="23" t="n">
        <v>4</v>
      </c>
      <c r="M20" s="23" t="n">
        <v>0</v>
      </c>
      <c r="N20" s="23" t="n">
        <v>0</v>
      </c>
      <c r="O20" s="23" t="n">
        <v>5</v>
      </c>
      <c r="P20" s="23" t="n">
        <v>5</v>
      </c>
      <c r="Q20" s="23" t="n">
        <v>4</v>
      </c>
      <c r="R20" s="23" t="n">
        <v>4.8</v>
      </c>
      <c r="S20" s="23" t="n">
        <v>5</v>
      </c>
      <c r="T20" s="23" t="n">
        <v>0</v>
      </c>
      <c r="U20" s="18" t="s">
        <v>126</v>
      </c>
      <c r="V20" s="18"/>
      <c r="W20" s="28" t="n">
        <f aca="false">MIN(100,MAX(0,ROUND(SUMPRODUCT(I20:S20,$I$3:$S$3)/SUM($I$3:$S$3)/5*100+T20,1)))</f>
        <v>73.2</v>
      </c>
      <c r="X20" s="15" t="str">
        <f aca="false">IF(U20="Yes","No","Yes")</f>
        <v>Yes</v>
      </c>
      <c r="Y20" s="29" t="n">
        <f aca="false">IF(X20="Yes",W20,W20-1000)-ROW()/100000</f>
        <v>73.1998</v>
      </c>
      <c r="Z20" s="15" t="n">
        <f aca="false">RANK(Y20,$Y$5:$Y$172,0)</f>
        <v>7</v>
      </c>
      <c r="AA20" s="15" t="str">
        <f aca="false">IF(X20="No","Hold – resolve flag",IF(Z20&lt;=Weights!$C$18,"Tier 1 – Flagship launch",IF(OR(Z20&lt;=Weights!$C$19,AF20="Yes"),"Tier 2 – Priority",IF(Z20&lt;=Weights!$C$20,"Tier 3 – Standard rotation","Tier 4 – Reserve"))))</f>
        <v>Tier 1 – Flagship launch</v>
      </c>
      <c r="AB20" s="18" t="s">
        <v>243</v>
      </c>
      <c r="AC20" s="27" t="s">
        <v>244</v>
      </c>
      <c r="AD20" s="18" t="s">
        <v>193</v>
      </c>
      <c r="AE20" s="15" t="s">
        <v>130</v>
      </c>
      <c r="AF20" s="23" t="s">
        <v>126</v>
      </c>
      <c r="AG20" s="29" t="n">
        <f aca="false">IF(OR(Z20&lt;=Weights!$C$19,AF20="Yes"),Y20,Y20-5000)</f>
        <v>73.1998</v>
      </c>
      <c r="AH20" s="15" t="n">
        <f aca="false">IF(OR(Z20&lt;=Weights!$C$19,AF20="Yes"),RANK(AG20,$AG$5:$AG$172,0),"")</f>
        <v>7</v>
      </c>
    </row>
    <row r="21" customFormat="false" ht="35.05" hidden="false" customHeight="false" outlineLevel="0" collapsed="false">
      <c r="A21" s="18" t="s">
        <v>245</v>
      </c>
      <c r="B21" s="27" t="s">
        <v>246</v>
      </c>
      <c r="C21" s="18" t="s">
        <v>247</v>
      </c>
      <c r="D21" s="18" t="s">
        <v>248</v>
      </c>
      <c r="E21" s="18" t="s">
        <v>249</v>
      </c>
      <c r="F21" s="18" t="s">
        <v>153</v>
      </c>
      <c r="G21" s="15" t="n">
        <v>2023</v>
      </c>
      <c r="H21" s="15" t="n">
        <v>3</v>
      </c>
      <c r="I21" s="23" t="n">
        <v>4</v>
      </c>
      <c r="J21" s="23" t="n">
        <v>5</v>
      </c>
      <c r="K21" s="23" t="n">
        <v>4</v>
      </c>
      <c r="L21" s="23" t="n">
        <v>5</v>
      </c>
      <c r="M21" s="23" t="n">
        <v>0</v>
      </c>
      <c r="N21" s="23" t="n">
        <v>0</v>
      </c>
      <c r="O21" s="23" t="n">
        <v>2</v>
      </c>
      <c r="P21" s="23" t="n">
        <v>1.5</v>
      </c>
      <c r="Q21" s="23" t="n">
        <v>3.9</v>
      </c>
      <c r="R21" s="23" t="n">
        <v>3.5</v>
      </c>
      <c r="S21" s="23" t="n">
        <v>3</v>
      </c>
      <c r="T21" s="23" t="n">
        <v>0</v>
      </c>
      <c r="U21" s="18" t="s">
        <v>126</v>
      </c>
      <c r="V21" s="18"/>
      <c r="W21" s="28" t="n">
        <f aca="false">MIN(100,MAX(0,ROUND(SUMPRODUCT(I21:S21,$I$3:$S$3)/SUM($I$3:$S$3)/5*100+T21,1)))</f>
        <v>62.7</v>
      </c>
      <c r="X21" s="15" t="str">
        <f aca="false">IF(U21="Yes","No","Yes")</f>
        <v>Yes</v>
      </c>
      <c r="Y21" s="29" t="n">
        <f aca="false">IF(X21="Yes",W21,W21-1000)-ROW()/100000</f>
        <v>62.69979</v>
      </c>
      <c r="Z21" s="15" t="n">
        <f aca="false">RANK(Y21,$Y$5:$Y$172,0)</f>
        <v>61</v>
      </c>
      <c r="AA21" s="15" t="str">
        <f aca="false">IF(X21="No","Hold – resolve flag",IF(Z21&lt;=Weights!$C$18,"Tier 1 – Flagship launch",IF(OR(Z21&lt;=Weights!$C$19,AF21="Yes"),"Tier 2 – Priority",IF(Z21&lt;=Weights!$C$20,"Tier 3 – Standard rotation","Tier 4 – Reserve"))))</f>
        <v>Tier 3 – Standard rotation</v>
      </c>
      <c r="AB21" s="18" t="s">
        <v>250</v>
      </c>
      <c r="AC21" s="27" t="s">
        <v>251</v>
      </c>
      <c r="AD21" s="18" t="s">
        <v>129</v>
      </c>
      <c r="AE21" s="15" t="s">
        <v>130</v>
      </c>
      <c r="AF21" s="23" t="s">
        <v>126</v>
      </c>
      <c r="AG21" s="29" t="n">
        <f aca="false">IF(OR(Z21&lt;=Weights!$C$19,AF21="Yes"),Y21,Y21-5000)</f>
        <v>-4937.30021</v>
      </c>
      <c r="AH21" s="15" t="str">
        <f aca="false">IF(OR(Z21&lt;=Weights!$C$19,AF21="Yes"),RANK(AG21,$AG$5:$AG$172,0),"")</f>
        <v/>
      </c>
    </row>
    <row r="22" customFormat="false" ht="35.05" hidden="false" customHeight="false" outlineLevel="0" collapsed="false">
      <c r="A22" s="18" t="s">
        <v>252</v>
      </c>
      <c r="B22" s="27" t="s">
        <v>253</v>
      </c>
      <c r="C22" s="18" t="s">
        <v>254</v>
      </c>
      <c r="D22" s="18" t="s">
        <v>255</v>
      </c>
      <c r="E22" s="18" t="s">
        <v>256</v>
      </c>
      <c r="F22" s="18" t="s">
        <v>153</v>
      </c>
      <c r="G22" s="15" t="n">
        <v>2024</v>
      </c>
      <c r="H22" s="15" t="s">
        <v>138</v>
      </c>
      <c r="I22" s="23" t="n">
        <v>2</v>
      </c>
      <c r="J22" s="23" t="n">
        <v>5</v>
      </c>
      <c r="K22" s="23" t="n">
        <v>2</v>
      </c>
      <c r="L22" s="23" t="n">
        <v>5</v>
      </c>
      <c r="M22" s="23" t="n">
        <v>0</v>
      </c>
      <c r="N22" s="23" t="n">
        <v>0</v>
      </c>
      <c r="O22" s="23" t="n">
        <v>2</v>
      </c>
      <c r="P22" s="23" t="n">
        <v>2.2</v>
      </c>
      <c r="Q22" s="23" t="n">
        <v>3.4</v>
      </c>
      <c r="R22" s="23" t="n">
        <v>2</v>
      </c>
      <c r="S22" s="23" t="n">
        <v>3</v>
      </c>
      <c r="T22" s="23" t="n">
        <v>0</v>
      </c>
      <c r="U22" s="18" t="s">
        <v>126</v>
      </c>
      <c r="V22" s="18"/>
      <c r="W22" s="28" t="n">
        <f aca="false">MIN(100,MAX(0,ROUND(SUMPRODUCT(I22:S22,$I$3:$S$3)/SUM($I$3:$S$3)/5*100+T22,1)))</f>
        <v>52.2</v>
      </c>
      <c r="X22" s="15" t="str">
        <f aca="false">IF(U22="Yes","No","Yes")</f>
        <v>Yes</v>
      </c>
      <c r="Y22" s="29" t="n">
        <f aca="false">IF(X22="Yes",W22,W22-1000)-ROW()/100000</f>
        <v>52.19978</v>
      </c>
      <c r="Z22" s="15" t="n">
        <f aca="false">RANK(Y22,$Y$5:$Y$172,0)</f>
        <v>136</v>
      </c>
      <c r="AA22" s="15" t="str">
        <f aca="false">IF(X22="No","Hold – resolve flag",IF(Z22&lt;=Weights!$C$18,"Tier 1 – Flagship launch",IF(OR(Z22&lt;=Weights!$C$19,AF22="Yes"),"Tier 2 – Priority",IF(Z22&lt;=Weights!$C$20,"Tier 3 – Standard rotation","Tier 4 – Reserve"))))</f>
        <v>Tier 4 – Reserve</v>
      </c>
      <c r="AB22" s="18" t="s">
        <v>257</v>
      </c>
      <c r="AC22" s="27" t="s">
        <v>258</v>
      </c>
      <c r="AD22" s="18" t="s">
        <v>193</v>
      </c>
      <c r="AE22" s="15" t="s">
        <v>130</v>
      </c>
      <c r="AF22" s="23" t="s">
        <v>126</v>
      </c>
      <c r="AG22" s="29" t="n">
        <f aca="false">IF(OR(Z22&lt;=Weights!$C$19,AF22="Yes"),Y22,Y22-5000)</f>
        <v>-4947.80022</v>
      </c>
      <c r="AH22" s="15" t="str">
        <f aca="false">IF(OR(Z22&lt;=Weights!$C$19,AF22="Yes"),RANK(AG22,$AG$5:$AG$172,0),"")</f>
        <v/>
      </c>
    </row>
    <row r="23" customFormat="false" ht="35.05" hidden="false" customHeight="false" outlineLevel="0" collapsed="false">
      <c r="A23" s="18" t="s">
        <v>259</v>
      </c>
      <c r="B23" s="27" t="s">
        <v>260</v>
      </c>
      <c r="C23" s="18" t="s">
        <v>261</v>
      </c>
      <c r="D23" s="18" t="s">
        <v>144</v>
      </c>
      <c r="E23" s="18" t="s">
        <v>262</v>
      </c>
      <c r="F23" s="18" t="s">
        <v>263</v>
      </c>
      <c r="G23" s="15" t="n">
        <v>2024</v>
      </c>
      <c r="H23" s="15" t="s">
        <v>138</v>
      </c>
      <c r="I23" s="23" t="n">
        <v>2</v>
      </c>
      <c r="J23" s="23" t="n">
        <v>3</v>
      </c>
      <c r="K23" s="23" t="n">
        <v>2</v>
      </c>
      <c r="L23" s="23" t="n">
        <v>4</v>
      </c>
      <c r="M23" s="23" t="n">
        <v>0</v>
      </c>
      <c r="N23" s="23" t="n">
        <v>0</v>
      </c>
      <c r="O23" s="23" t="n">
        <v>2</v>
      </c>
      <c r="P23" s="23" t="n">
        <v>2.2</v>
      </c>
      <c r="Q23" s="23" t="n">
        <v>4</v>
      </c>
      <c r="R23" s="23" t="n">
        <v>1.5</v>
      </c>
      <c r="S23" s="23" t="n">
        <v>2</v>
      </c>
      <c r="T23" s="23" t="n">
        <v>0</v>
      </c>
      <c r="U23" s="18" t="s">
        <v>126</v>
      </c>
      <c r="V23" s="18"/>
      <c r="W23" s="28" t="n">
        <f aca="false">MIN(100,MAX(0,ROUND(SUMPRODUCT(I23:S23,$I$3:$S$3)/SUM($I$3:$S$3)/5*100+T23,1)))</f>
        <v>43.2</v>
      </c>
      <c r="X23" s="15" t="str">
        <f aca="false">IF(U23="Yes","No","Yes")</f>
        <v>Yes</v>
      </c>
      <c r="Y23" s="29" t="n">
        <f aca="false">IF(X23="Yes",W23,W23-1000)-ROW()/100000</f>
        <v>43.19977</v>
      </c>
      <c r="Z23" s="15" t="n">
        <f aca="false">RANK(Y23,$Y$5:$Y$172,0)</f>
        <v>152</v>
      </c>
      <c r="AA23" s="15" t="str">
        <f aca="false">IF(X23="No","Hold – resolve flag",IF(Z23&lt;=Weights!$C$18,"Tier 1 – Flagship launch",IF(OR(Z23&lt;=Weights!$C$19,AF23="Yes"),"Tier 2 – Priority",IF(Z23&lt;=Weights!$C$20,"Tier 3 – Standard rotation","Tier 4 – Reserve"))))</f>
        <v>Tier 4 – Reserve</v>
      </c>
      <c r="AB23" s="18" t="s">
        <v>264</v>
      </c>
      <c r="AC23" s="27" t="s">
        <v>265</v>
      </c>
      <c r="AD23" s="18" t="s">
        <v>156</v>
      </c>
      <c r="AE23" s="15" t="s">
        <v>130</v>
      </c>
      <c r="AF23" s="23" t="s">
        <v>126</v>
      </c>
      <c r="AG23" s="29" t="n">
        <f aca="false">IF(OR(Z23&lt;=Weights!$C$19,AF23="Yes"),Y23,Y23-5000)</f>
        <v>-4956.80023</v>
      </c>
      <c r="AH23" s="15" t="str">
        <f aca="false">IF(OR(Z23&lt;=Weights!$C$19,AF23="Yes"),RANK(AG23,$AG$5:$AG$172,0),"")</f>
        <v/>
      </c>
    </row>
    <row r="24" customFormat="false" ht="35.05" hidden="false" customHeight="false" outlineLevel="0" collapsed="false">
      <c r="A24" s="18" t="s">
        <v>266</v>
      </c>
      <c r="B24" s="27" t="s">
        <v>267</v>
      </c>
      <c r="C24" s="18" t="s">
        <v>268</v>
      </c>
      <c r="D24" s="18" t="s">
        <v>144</v>
      </c>
      <c r="E24" s="18" t="s">
        <v>204</v>
      </c>
      <c r="F24" s="18" t="s">
        <v>269</v>
      </c>
      <c r="G24" s="15" t="n">
        <v>2024</v>
      </c>
      <c r="H24" s="15" t="s">
        <v>138</v>
      </c>
      <c r="I24" s="23" t="n">
        <v>5</v>
      </c>
      <c r="J24" s="23" t="n">
        <v>3</v>
      </c>
      <c r="K24" s="23" t="n">
        <v>2</v>
      </c>
      <c r="L24" s="23" t="n">
        <v>4</v>
      </c>
      <c r="M24" s="23" t="n">
        <v>0</v>
      </c>
      <c r="N24" s="23" t="n">
        <v>0</v>
      </c>
      <c r="O24" s="23" t="n">
        <v>2</v>
      </c>
      <c r="P24" s="23" t="n">
        <v>2.2</v>
      </c>
      <c r="Q24" s="23" t="n">
        <v>4</v>
      </c>
      <c r="R24" s="23" t="n">
        <v>1.5</v>
      </c>
      <c r="S24" s="23" t="n">
        <v>1</v>
      </c>
      <c r="T24" s="23" t="n">
        <v>0</v>
      </c>
      <c r="U24" s="18" t="s">
        <v>126</v>
      </c>
      <c r="V24" s="18"/>
      <c r="W24" s="28" t="n">
        <f aca="false">MIN(100,MAX(0,ROUND(SUMPRODUCT(I24:S24,$I$3:$S$3)/SUM($I$3:$S$3)/5*100+T24,1)))</f>
        <v>46.4</v>
      </c>
      <c r="X24" s="15" t="str">
        <f aca="false">IF(U24="Yes","No","Yes")</f>
        <v>Yes</v>
      </c>
      <c r="Y24" s="29" t="n">
        <f aca="false">IF(X24="Yes",W24,W24-1000)-ROW()/100000</f>
        <v>46.39976</v>
      </c>
      <c r="Z24" s="15" t="n">
        <f aca="false">RANK(Y24,$Y$5:$Y$172,0)</f>
        <v>151</v>
      </c>
      <c r="AA24" s="15" t="str">
        <f aca="false">IF(X24="No","Hold – resolve flag",IF(Z24&lt;=Weights!$C$18,"Tier 1 – Flagship launch",IF(OR(Z24&lt;=Weights!$C$19,AF24="Yes"),"Tier 2 – Priority",IF(Z24&lt;=Weights!$C$20,"Tier 3 – Standard rotation","Tier 4 – Reserve"))))</f>
        <v>Tier 4 – Reserve</v>
      </c>
      <c r="AB24" s="18" t="s">
        <v>270</v>
      </c>
      <c r="AC24" s="27" t="s">
        <v>271</v>
      </c>
      <c r="AD24" s="18" t="s">
        <v>156</v>
      </c>
      <c r="AE24" s="15" t="s">
        <v>130</v>
      </c>
      <c r="AF24" s="23" t="s">
        <v>126</v>
      </c>
      <c r="AG24" s="29" t="n">
        <f aca="false">IF(OR(Z24&lt;=Weights!$C$19,AF24="Yes"),Y24,Y24-5000)</f>
        <v>-4953.60024</v>
      </c>
      <c r="AH24" s="15" t="str">
        <f aca="false">IF(OR(Z24&lt;=Weights!$C$19,AF24="Yes"),RANK(AG24,$AG$5:$AG$172,0),"")</f>
        <v/>
      </c>
    </row>
    <row r="25" customFormat="false" ht="35.05" hidden="false" customHeight="false" outlineLevel="0" collapsed="false">
      <c r="A25" s="18" t="s">
        <v>272</v>
      </c>
      <c r="B25" s="27" t="s">
        <v>273</v>
      </c>
      <c r="C25" s="18" t="s">
        <v>274</v>
      </c>
      <c r="D25" s="18" t="s">
        <v>275</v>
      </c>
      <c r="E25" s="18" t="s">
        <v>276</v>
      </c>
      <c r="F25" s="18" t="s">
        <v>153</v>
      </c>
      <c r="G25" s="15" t="n">
        <v>2024</v>
      </c>
      <c r="H25" s="15" t="n">
        <v>3</v>
      </c>
      <c r="I25" s="23" t="n">
        <v>5</v>
      </c>
      <c r="J25" s="23" t="n">
        <v>4</v>
      </c>
      <c r="K25" s="23" t="n">
        <v>4</v>
      </c>
      <c r="L25" s="23" t="n">
        <v>5</v>
      </c>
      <c r="M25" s="23" t="n">
        <v>0</v>
      </c>
      <c r="N25" s="23" t="n">
        <v>0</v>
      </c>
      <c r="O25" s="23" t="n">
        <v>2</v>
      </c>
      <c r="P25" s="23" t="n">
        <v>3</v>
      </c>
      <c r="Q25" s="23" t="n">
        <v>5</v>
      </c>
      <c r="R25" s="23" t="n">
        <v>3.5</v>
      </c>
      <c r="S25" s="23" t="n">
        <v>3</v>
      </c>
      <c r="T25" s="23" t="n">
        <v>0</v>
      </c>
      <c r="U25" s="18" t="s">
        <v>126</v>
      </c>
      <c r="V25" s="18"/>
      <c r="W25" s="28" t="n">
        <f aca="false">MIN(100,MAX(0,ROUND(SUMPRODUCT(I25:S25,$I$3:$S$3)/SUM($I$3:$S$3)/5*100+T25,1)))</f>
        <v>66.1</v>
      </c>
      <c r="X25" s="15" t="str">
        <f aca="false">IF(U25="Yes","No","Yes")</f>
        <v>Yes</v>
      </c>
      <c r="Y25" s="29" t="n">
        <f aca="false">IF(X25="Yes",W25,W25-1000)-ROW()/100000</f>
        <v>66.09975</v>
      </c>
      <c r="Z25" s="15" t="n">
        <f aca="false">RANK(Y25,$Y$5:$Y$172,0)</f>
        <v>37</v>
      </c>
      <c r="AA25" s="15" t="str">
        <f aca="false">IF(X25="No","Hold – resolve flag",IF(Z25&lt;=Weights!$C$18,"Tier 1 – Flagship launch",IF(OR(Z25&lt;=Weights!$C$19,AF25="Yes"),"Tier 2 – Priority",IF(Z25&lt;=Weights!$C$20,"Tier 3 – Standard rotation","Tier 4 – Reserve"))))</f>
        <v>Tier 3 – Standard rotation</v>
      </c>
      <c r="AB25" s="18" t="s">
        <v>277</v>
      </c>
      <c r="AC25" s="27" t="s">
        <v>278</v>
      </c>
      <c r="AD25" s="18" t="s">
        <v>129</v>
      </c>
      <c r="AE25" s="15" t="s">
        <v>130</v>
      </c>
      <c r="AF25" s="23" t="s">
        <v>126</v>
      </c>
      <c r="AG25" s="29" t="n">
        <f aca="false">IF(OR(Z25&lt;=Weights!$C$19,AF25="Yes"),Y25,Y25-5000)</f>
        <v>-4933.90025</v>
      </c>
      <c r="AH25" s="15" t="str">
        <f aca="false">IF(OR(Z25&lt;=Weights!$C$19,AF25="Yes"),RANK(AG25,$AG$5:$AG$172,0),"")</f>
        <v/>
      </c>
    </row>
    <row r="26" customFormat="false" ht="35.05" hidden="false" customHeight="false" outlineLevel="0" collapsed="false">
      <c r="A26" s="18" t="s">
        <v>279</v>
      </c>
      <c r="B26" s="27" t="s">
        <v>280</v>
      </c>
      <c r="C26" s="18" t="s">
        <v>281</v>
      </c>
      <c r="D26" s="18" t="s">
        <v>282</v>
      </c>
      <c r="E26" s="18" t="s">
        <v>283</v>
      </c>
      <c r="F26" s="18" t="s">
        <v>153</v>
      </c>
      <c r="G26" s="15" t="n">
        <v>2024</v>
      </c>
      <c r="H26" s="15" t="s">
        <v>138</v>
      </c>
      <c r="I26" s="23" t="n">
        <v>2</v>
      </c>
      <c r="J26" s="23" t="n">
        <v>2</v>
      </c>
      <c r="K26" s="23" t="n">
        <v>2</v>
      </c>
      <c r="L26" s="23" t="n">
        <v>5</v>
      </c>
      <c r="M26" s="23" t="n">
        <v>0</v>
      </c>
      <c r="N26" s="23" t="n">
        <v>0</v>
      </c>
      <c r="O26" s="23" t="n">
        <v>2</v>
      </c>
      <c r="P26" s="23" t="n">
        <v>4.2</v>
      </c>
      <c r="Q26" s="23" t="n">
        <v>4</v>
      </c>
      <c r="R26" s="23" t="n">
        <v>3.8</v>
      </c>
      <c r="S26" s="23" t="n">
        <v>3</v>
      </c>
      <c r="T26" s="23" t="n">
        <v>0</v>
      </c>
      <c r="U26" s="18" t="s">
        <v>126</v>
      </c>
      <c r="V26" s="18"/>
      <c r="W26" s="28" t="n">
        <f aca="false">MIN(100,MAX(0,ROUND(SUMPRODUCT(I26:S26,$I$3:$S$3)/SUM($I$3:$S$3)/5*100+T26,1)))</f>
        <v>54.5</v>
      </c>
      <c r="X26" s="15" t="str">
        <f aca="false">IF(U26="Yes","No","Yes")</f>
        <v>Yes</v>
      </c>
      <c r="Y26" s="29" t="n">
        <f aca="false">IF(X26="Yes",W26,W26-1000)-ROW()/100000</f>
        <v>54.49974</v>
      </c>
      <c r="Z26" s="15" t="n">
        <f aca="false">RANK(Y26,$Y$5:$Y$172,0)</f>
        <v>128</v>
      </c>
      <c r="AA26" s="15" t="str">
        <f aca="false">IF(X26="No","Hold – resolve flag",IF(Z26&lt;=Weights!$C$18,"Tier 1 – Flagship launch",IF(OR(Z26&lt;=Weights!$C$19,AF26="Yes"),"Tier 2 – Priority",IF(Z26&lt;=Weights!$C$20,"Tier 3 – Standard rotation","Tier 4 – Reserve"))))</f>
        <v>Tier 4 – Reserve</v>
      </c>
      <c r="AB26" s="18" t="s">
        <v>284</v>
      </c>
      <c r="AC26" s="27" t="s">
        <v>285</v>
      </c>
      <c r="AD26" s="18" t="s">
        <v>156</v>
      </c>
      <c r="AE26" s="15" t="s">
        <v>130</v>
      </c>
      <c r="AF26" s="23" t="s">
        <v>126</v>
      </c>
      <c r="AG26" s="29" t="n">
        <f aca="false">IF(OR(Z26&lt;=Weights!$C$19,AF26="Yes"),Y26,Y26-5000)</f>
        <v>-4945.50026</v>
      </c>
      <c r="AH26" s="15" t="str">
        <f aca="false">IF(OR(Z26&lt;=Weights!$C$19,AF26="Yes"),RANK(AG26,$AG$5:$AG$172,0),"")</f>
        <v/>
      </c>
    </row>
    <row r="27" customFormat="false" ht="35.05" hidden="false" customHeight="false" outlineLevel="0" collapsed="false">
      <c r="A27" s="18" t="s">
        <v>286</v>
      </c>
      <c r="B27" s="27" t="s">
        <v>287</v>
      </c>
      <c r="C27" s="18" t="s">
        <v>288</v>
      </c>
      <c r="D27" s="18" t="s">
        <v>289</v>
      </c>
      <c r="E27" s="18" t="s">
        <v>290</v>
      </c>
      <c r="F27" s="18" t="s">
        <v>153</v>
      </c>
      <c r="G27" s="15" t="n">
        <v>2024</v>
      </c>
      <c r="H27" s="15" t="n">
        <v>8</v>
      </c>
      <c r="I27" s="23" t="n">
        <v>5</v>
      </c>
      <c r="J27" s="23" t="n">
        <v>4</v>
      </c>
      <c r="K27" s="23" t="n">
        <v>2</v>
      </c>
      <c r="L27" s="23" t="n">
        <v>5</v>
      </c>
      <c r="M27" s="23" t="n">
        <v>0</v>
      </c>
      <c r="N27" s="23" t="n">
        <v>0</v>
      </c>
      <c r="O27" s="23" t="n">
        <v>2</v>
      </c>
      <c r="P27" s="23" t="n">
        <v>2.2</v>
      </c>
      <c r="Q27" s="23" t="n">
        <v>4.3</v>
      </c>
      <c r="R27" s="23" t="n">
        <v>3.8</v>
      </c>
      <c r="S27" s="23" t="n">
        <v>3</v>
      </c>
      <c r="T27" s="23" t="n">
        <v>0</v>
      </c>
      <c r="U27" s="18" t="s">
        <v>126</v>
      </c>
      <c r="V27" s="18"/>
      <c r="W27" s="28" t="n">
        <f aca="false">MIN(100,MAX(0,ROUND(SUMPRODUCT(I27:S27,$I$3:$S$3)/SUM($I$3:$S$3)/5*100+T27,1)))</f>
        <v>61.4</v>
      </c>
      <c r="X27" s="15" t="str">
        <f aca="false">IF(U27="Yes","No","Yes")</f>
        <v>Yes</v>
      </c>
      <c r="Y27" s="29" t="n">
        <f aca="false">IF(X27="Yes",W27,W27-1000)-ROW()/100000</f>
        <v>61.39973</v>
      </c>
      <c r="Z27" s="15" t="n">
        <f aca="false">RANK(Y27,$Y$5:$Y$172,0)</f>
        <v>71</v>
      </c>
      <c r="AA27" s="15" t="str">
        <f aca="false">IF(X27="No","Hold – resolve flag",IF(Z27&lt;=Weights!$C$18,"Tier 1 – Flagship launch",IF(OR(Z27&lt;=Weights!$C$19,AF27="Yes"),"Tier 2 – Priority",IF(Z27&lt;=Weights!$C$20,"Tier 3 – Standard rotation","Tier 4 – Reserve"))))</f>
        <v>Tier 3 – Standard rotation</v>
      </c>
      <c r="AB27" s="18" t="s">
        <v>291</v>
      </c>
      <c r="AC27" s="27" t="s">
        <v>292</v>
      </c>
      <c r="AD27" s="18" t="s">
        <v>129</v>
      </c>
      <c r="AE27" s="15" t="s">
        <v>130</v>
      </c>
      <c r="AF27" s="23" t="s">
        <v>126</v>
      </c>
      <c r="AG27" s="29" t="n">
        <f aca="false">IF(OR(Z27&lt;=Weights!$C$19,AF27="Yes"),Y27,Y27-5000)</f>
        <v>-4938.60027</v>
      </c>
      <c r="AH27" s="15" t="str">
        <f aca="false">IF(OR(Z27&lt;=Weights!$C$19,AF27="Yes"),RANK(AG27,$AG$5:$AG$172,0),"")</f>
        <v/>
      </c>
    </row>
    <row r="28" customFormat="false" ht="35.05" hidden="false" customHeight="false" outlineLevel="0" collapsed="false">
      <c r="A28" s="18" t="s">
        <v>293</v>
      </c>
      <c r="B28" s="27" t="s">
        <v>294</v>
      </c>
      <c r="C28" s="18" t="s">
        <v>295</v>
      </c>
      <c r="D28" s="18" t="s">
        <v>296</v>
      </c>
      <c r="E28" s="18" t="s">
        <v>297</v>
      </c>
      <c r="F28" s="18" t="s">
        <v>153</v>
      </c>
      <c r="G28" s="15" t="n">
        <v>2024</v>
      </c>
      <c r="H28" s="15" t="s">
        <v>138</v>
      </c>
      <c r="I28" s="23" t="n">
        <v>2</v>
      </c>
      <c r="J28" s="23" t="n">
        <v>2</v>
      </c>
      <c r="K28" s="23" t="n">
        <v>2</v>
      </c>
      <c r="L28" s="23" t="n">
        <v>5</v>
      </c>
      <c r="M28" s="23" t="n">
        <v>5</v>
      </c>
      <c r="N28" s="23" t="n">
        <v>0</v>
      </c>
      <c r="O28" s="23" t="n">
        <v>3</v>
      </c>
      <c r="P28" s="23" t="n">
        <v>2.2</v>
      </c>
      <c r="Q28" s="23" t="n">
        <v>4.3</v>
      </c>
      <c r="R28" s="23" t="n">
        <v>1</v>
      </c>
      <c r="S28" s="23" t="n">
        <v>3</v>
      </c>
      <c r="T28" s="23" t="n">
        <v>0</v>
      </c>
      <c r="U28" s="18" t="s">
        <v>126</v>
      </c>
      <c r="V28" s="18"/>
      <c r="W28" s="28" t="n">
        <f aca="false">MIN(100,MAX(0,ROUND(SUMPRODUCT(I28:S28,$I$3:$S$3)/SUM($I$3:$S$3)/5*100+T28,1)))</f>
        <v>52.4</v>
      </c>
      <c r="X28" s="15" t="str">
        <f aca="false">IF(U28="Yes","No","Yes")</f>
        <v>Yes</v>
      </c>
      <c r="Y28" s="29" t="n">
        <f aca="false">IF(X28="Yes",W28,W28-1000)-ROW()/100000</f>
        <v>52.39972</v>
      </c>
      <c r="Z28" s="15" t="n">
        <f aca="false">RANK(Y28,$Y$5:$Y$172,0)</f>
        <v>133</v>
      </c>
      <c r="AA28" s="15" t="str">
        <f aca="false">IF(X28="No","Hold – resolve flag",IF(Z28&lt;=Weights!$C$18,"Tier 1 – Flagship launch",IF(OR(Z28&lt;=Weights!$C$19,AF28="Yes"),"Tier 2 – Priority",IF(Z28&lt;=Weights!$C$20,"Tier 3 – Standard rotation","Tier 4 – Reserve"))))</f>
        <v>Tier 2 – Priority</v>
      </c>
      <c r="AB28" s="18" t="s">
        <v>298</v>
      </c>
      <c r="AC28" s="27" t="s">
        <v>299</v>
      </c>
      <c r="AD28" s="18" t="s">
        <v>156</v>
      </c>
      <c r="AE28" s="15" t="s">
        <v>130</v>
      </c>
      <c r="AF28" s="23" t="s">
        <v>131</v>
      </c>
      <c r="AG28" s="29" t="n">
        <f aca="false">IF(OR(Z28&lt;=Weights!$C$19,AF28="Yes"),Y28,Y28-5000)</f>
        <v>52.39972</v>
      </c>
      <c r="AH28" s="15" t="n">
        <f aca="false">IF(OR(Z28&lt;=Weights!$C$19,AF28="Yes"),RANK(AG28,$AG$5:$AG$172,0),"")</f>
        <v>59</v>
      </c>
    </row>
    <row r="29" customFormat="false" ht="46.25" hidden="false" customHeight="false" outlineLevel="0" collapsed="false">
      <c r="A29" s="18" t="s">
        <v>300</v>
      </c>
      <c r="B29" s="27" t="s">
        <v>301</v>
      </c>
      <c r="C29" s="18" t="s">
        <v>302</v>
      </c>
      <c r="D29" s="18" t="s">
        <v>303</v>
      </c>
      <c r="E29" s="18" t="s">
        <v>304</v>
      </c>
      <c r="F29" s="18" t="s">
        <v>153</v>
      </c>
      <c r="G29" s="15" t="n">
        <v>2024</v>
      </c>
      <c r="H29" s="15" t="s">
        <v>138</v>
      </c>
      <c r="I29" s="23" t="n">
        <v>5</v>
      </c>
      <c r="J29" s="23" t="n">
        <v>0</v>
      </c>
      <c r="K29" s="23" t="n">
        <v>2</v>
      </c>
      <c r="L29" s="23" t="n">
        <v>0</v>
      </c>
      <c r="M29" s="23" t="n">
        <v>0</v>
      </c>
      <c r="N29" s="23" t="n">
        <v>0</v>
      </c>
      <c r="O29" s="23" t="n">
        <v>4</v>
      </c>
      <c r="P29" s="23" t="n">
        <v>3</v>
      </c>
      <c r="Q29" s="23" t="n">
        <v>4.2</v>
      </c>
      <c r="R29" s="23" t="n">
        <v>3.2</v>
      </c>
      <c r="S29" s="23" t="n">
        <v>3</v>
      </c>
      <c r="T29" s="23" t="n">
        <v>0</v>
      </c>
      <c r="U29" s="18" t="s">
        <v>131</v>
      </c>
      <c r="V29" s="18" t="s">
        <v>162</v>
      </c>
      <c r="W29" s="28" t="n">
        <f aca="false">MIN(100,MAX(0,ROUND(SUMPRODUCT(I29:S29,$I$3:$S$3)/SUM($I$3:$S$3)/5*100+T29,1)))</f>
        <v>45.1</v>
      </c>
      <c r="X29" s="15" t="str">
        <f aca="false">IF(U29="Yes","No","Yes")</f>
        <v>No</v>
      </c>
      <c r="Y29" s="29" t="n">
        <f aca="false">IF(X29="Yes",W29,W29-1000)-ROW()/100000</f>
        <v>-954.90029</v>
      </c>
      <c r="Z29" s="15" t="n">
        <f aca="false">RANK(Y29,$Y$5:$Y$172,0)</f>
        <v>165</v>
      </c>
      <c r="AA29" s="15" t="str">
        <f aca="false">IF(X29="No","Hold – resolve flag",IF(Z29&lt;=Weights!$C$18,"Tier 1 – Flagship launch",IF(OR(Z29&lt;=Weights!$C$19,AF29="Yes"),"Tier 2 – Priority",IF(Z29&lt;=Weights!$C$20,"Tier 3 – Standard rotation","Tier 4 – Reserve"))))</f>
        <v>Hold – resolve flag</v>
      </c>
      <c r="AB29" s="18" t="s">
        <v>305</v>
      </c>
      <c r="AC29" s="27" t="s">
        <v>306</v>
      </c>
      <c r="AD29" s="18" t="s">
        <v>156</v>
      </c>
      <c r="AE29" s="15" t="s">
        <v>130</v>
      </c>
      <c r="AF29" s="23" t="s">
        <v>126</v>
      </c>
      <c r="AG29" s="29" t="n">
        <f aca="false">IF(OR(Z29&lt;=Weights!$C$19,AF29="Yes"),Y29,Y29-5000)</f>
        <v>-5954.90029</v>
      </c>
      <c r="AH29" s="15" t="str">
        <f aca="false">IF(OR(Z29&lt;=Weights!$C$19,AF29="Yes"),RANK(AG29,$AG$5:$AG$172,0),"")</f>
        <v/>
      </c>
    </row>
    <row r="30" customFormat="false" ht="46.25" hidden="false" customHeight="false" outlineLevel="0" collapsed="false">
      <c r="A30" s="18" t="s">
        <v>307</v>
      </c>
      <c r="B30" s="27" t="s">
        <v>308</v>
      </c>
      <c r="C30" s="18" t="s">
        <v>309</v>
      </c>
      <c r="D30" s="18" t="s">
        <v>303</v>
      </c>
      <c r="E30" s="18" t="s">
        <v>310</v>
      </c>
      <c r="F30" s="18" t="s">
        <v>153</v>
      </c>
      <c r="G30" s="15" t="n">
        <v>2024</v>
      </c>
      <c r="H30" s="15" t="s">
        <v>138</v>
      </c>
      <c r="I30" s="23" t="n">
        <v>4</v>
      </c>
      <c r="J30" s="23" t="n">
        <v>0</v>
      </c>
      <c r="K30" s="23" t="n">
        <v>2</v>
      </c>
      <c r="L30" s="23" t="n">
        <v>2</v>
      </c>
      <c r="M30" s="23" t="n">
        <v>0</v>
      </c>
      <c r="N30" s="23" t="n">
        <v>0</v>
      </c>
      <c r="O30" s="23" t="n">
        <v>4</v>
      </c>
      <c r="P30" s="23" t="n">
        <v>3</v>
      </c>
      <c r="Q30" s="23" t="n">
        <v>3.9</v>
      </c>
      <c r="R30" s="23" t="n">
        <v>4</v>
      </c>
      <c r="S30" s="23" t="n">
        <v>3</v>
      </c>
      <c r="T30" s="23" t="n">
        <v>0</v>
      </c>
      <c r="U30" s="18" t="s">
        <v>131</v>
      </c>
      <c r="V30" s="18" t="s">
        <v>162</v>
      </c>
      <c r="W30" s="28" t="n">
        <f aca="false">MIN(100,MAX(0,ROUND(SUMPRODUCT(I30:S30,$I$3:$S$3)/SUM($I$3:$S$3)/5*100+T30,1)))</f>
        <v>49.4</v>
      </c>
      <c r="X30" s="15" t="str">
        <f aca="false">IF(U30="Yes","No","Yes")</f>
        <v>No</v>
      </c>
      <c r="Y30" s="29" t="n">
        <f aca="false">IF(X30="Yes",W30,W30-1000)-ROW()/100000</f>
        <v>-950.6003</v>
      </c>
      <c r="Z30" s="15" t="n">
        <f aca="false">RANK(Y30,$Y$5:$Y$172,0)</f>
        <v>162</v>
      </c>
      <c r="AA30" s="15" t="str">
        <f aca="false">IF(X30="No","Hold – resolve flag",IF(Z30&lt;=Weights!$C$18,"Tier 1 – Flagship launch",IF(OR(Z30&lt;=Weights!$C$19,AF30="Yes"),"Tier 2 – Priority",IF(Z30&lt;=Weights!$C$20,"Tier 3 – Standard rotation","Tier 4 – Reserve"))))</f>
        <v>Hold – resolve flag</v>
      </c>
      <c r="AB30" s="18" t="s">
        <v>311</v>
      </c>
      <c r="AC30" s="27" t="s">
        <v>312</v>
      </c>
      <c r="AD30" s="18" t="s">
        <v>156</v>
      </c>
      <c r="AE30" s="15" t="s">
        <v>130</v>
      </c>
      <c r="AF30" s="23" t="s">
        <v>126</v>
      </c>
      <c r="AG30" s="29" t="n">
        <f aca="false">IF(OR(Z30&lt;=Weights!$C$19,AF30="Yes"),Y30,Y30-5000)</f>
        <v>-5950.6003</v>
      </c>
      <c r="AH30" s="15" t="str">
        <f aca="false">IF(OR(Z30&lt;=Weights!$C$19,AF30="Yes"),RANK(AG30,$AG$5:$AG$172,0),"")</f>
        <v/>
      </c>
    </row>
    <row r="31" customFormat="false" ht="35.05" hidden="false" customHeight="false" outlineLevel="0" collapsed="false">
      <c r="A31" s="18" t="s">
        <v>313</v>
      </c>
      <c r="B31" s="27" t="s">
        <v>314</v>
      </c>
      <c r="C31" s="18" t="s">
        <v>315</v>
      </c>
      <c r="D31" s="18" t="s">
        <v>316</v>
      </c>
      <c r="E31" s="18" t="s">
        <v>317</v>
      </c>
      <c r="F31" s="18" t="s">
        <v>153</v>
      </c>
      <c r="G31" s="15" t="n">
        <v>2024</v>
      </c>
      <c r="H31" s="15" t="s">
        <v>138</v>
      </c>
      <c r="I31" s="23" t="n">
        <v>5</v>
      </c>
      <c r="J31" s="23" t="n">
        <v>4</v>
      </c>
      <c r="K31" s="23" t="n">
        <v>2</v>
      </c>
      <c r="L31" s="23" t="n">
        <v>0</v>
      </c>
      <c r="M31" s="23" t="n">
        <v>0</v>
      </c>
      <c r="N31" s="23" t="n">
        <v>0</v>
      </c>
      <c r="O31" s="23" t="n">
        <v>4</v>
      </c>
      <c r="P31" s="23" t="n">
        <v>5</v>
      </c>
      <c r="Q31" s="23" t="n">
        <v>4</v>
      </c>
      <c r="R31" s="23" t="n">
        <v>4.2</v>
      </c>
      <c r="S31" s="23" t="n">
        <v>4</v>
      </c>
      <c r="T31" s="23" t="n">
        <v>0</v>
      </c>
      <c r="U31" s="18" t="s">
        <v>126</v>
      </c>
      <c r="V31" s="18"/>
      <c r="W31" s="28" t="n">
        <f aca="false">MIN(100,MAX(0,ROUND(SUMPRODUCT(I31:S31,$I$3:$S$3)/SUM($I$3:$S$3)/5*100+T31,1)))</f>
        <v>62.2</v>
      </c>
      <c r="X31" s="15" t="str">
        <f aca="false">IF(U31="Yes","No","Yes")</f>
        <v>Yes</v>
      </c>
      <c r="Y31" s="29" t="n">
        <f aca="false">IF(X31="Yes",W31,W31-1000)-ROW()/100000</f>
        <v>62.19969</v>
      </c>
      <c r="Z31" s="15" t="n">
        <f aca="false">RANK(Y31,$Y$5:$Y$172,0)</f>
        <v>63</v>
      </c>
      <c r="AA31" s="15" t="str">
        <f aca="false">IF(X31="No","Hold – resolve flag",IF(Z31&lt;=Weights!$C$18,"Tier 1 – Flagship launch",IF(OR(Z31&lt;=Weights!$C$19,AF31="Yes"),"Tier 2 – Priority",IF(Z31&lt;=Weights!$C$20,"Tier 3 – Standard rotation","Tier 4 – Reserve"))))</f>
        <v>Tier 3 – Standard rotation</v>
      </c>
      <c r="AB31" s="18" t="s">
        <v>318</v>
      </c>
      <c r="AC31" s="27" t="s">
        <v>319</v>
      </c>
      <c r="AD31" s="18" t="s">
        <v>193</v>
      </c>
      <c r="AE31" s="15" t="s">
        <v>130</v>
      </c>
      <c r="AF31" s="23" t="s">
        <v>126</v>
      </c>
      <c r="AG31" s="29" t="n">
        <f aca="false">IF(OR(Z31&lt;=Weights!$C$19,AF31="Yes"),Y31,Y31-5000)</f>
        <v>-4937.80031</v>
      </c>
      <c r="AH31" s="15" t="str">
        <f aca="false">IF(OR(Z31&lt;=Weights!$C$19,AF31="Yes"),RANK(AG31,$AG$5:$AG$172,0),"")</f>
        <v/>
      </c>
    </row>
    <row r="32" customFormat="false" ht="35.05" hidden="false" customHeight="false" outlineLevel="0" collapsed="false">
      <c r="A32" s="18" t="s">
        <v>320</v>
      </c>
      <c r="B32" s="27" t="s">
        <v>321</v>
      </c>
      <c r="C32" s="18" t="s">
        <v>322</v>
      </c>
      <c r="D32" s="18" t="s">
        <v>323</v>
      </c>
      <c r="E32" s="18" t="s">
        <v>324</v>
      </c>
      <c r="F32" s="18" t="s">
        <v>153</v>
      </c>
      <c r="G32" s="15" t="n">
        <v>2024</v>
      </c>
      <c r="H32" s="15" t="n">
        <v>11</v>
      </c>
      <c r="I32" s="23" t="n">
        <v>5</v>
      </c>
      <c r="J32" s="23" t="n">
        <v>5</v>
      </c>
      <c r="K32" s="23" t="n">
        <v>1</v>
      </c>
      <c r="L32" s="23" t="n">
        <v>5</v>
      </c>
      <c r="M32" s="23" t="n">
        <v>0</v>
      </c>
      <c r="N32" s="23" t="n">
        <v>0</v>
      </c>
      <c r="O32" s="23" t="n">
        <v>2</v>
      </c>
      <c r="P32" s="23" t="n">
        <v>1.5</v>
      </c>
      <c r="Q32" s="23" t="n">
        <v>3.9</v>
      </c>
      <c r="R32" s="23" t="n">
        <v>3.5</v>
      </c>
      <c r="S32" s="23" t="n">
        <v>3</v>
      </c>
      <c r="T32" s="23" t="n">
        <v>0</v>
      </c>
      <c r="U32" s="18" t="s">
        <v>126</v>
      </c>
      <c r="V32" s="18"/>
      <c r="W32" s="28" t="n">
        <f aca="false">MIN(100,MAX(0,ROUND(SUMPRODUCT(I32:S32,$I$3:$S$3)/SUM($I$3:$S$3)/5*100+T32,1)))</f>
        <v>59.5</v>
      </c>
      <c r="X32" s="15" t="str">
        <f aca="false">IF(U32="Yes","No","Yes")</f>
        <v>Yes</v>
      </c>
      <c r="Y32" s="29" t="n">
        <f aca="false">IF(X32="Yes",W32,W32-1000)-ROW()/100000</f>
        <v>59.49968</v>
      </c>
      <c r="Z32" s="15" t="n">
        <f aca="false">RANK(Y32,$Y$5:$Y$172,0)</f>
        <v>86</v>
      </c>
      <c r="AA32" s="15" t="str">
        <f aca="false">IF(X32="No","Hold – resolve flag",IF(Z32&lt;=Weights!$C$18,"Tier 1 – Flagship launch",IF(OR(Z32&lt;=Weights!$C$19,AF32="Yes"),"Tier 2 – Priority",IF(Z32&lt;=Weights!$C$20,"Tier 3 – Standard rotation","Tier 4 – Reserve"))))</f>
        <v>Tier 4 – Reserve</v>
      </c>
      <c r="AB32" s="18" t="s">
        <v>325</v>
      </c>
      <c r="AC32" s="27" t="s">
        <v>326</v>
      </c>
      <c r="AD32" s="18" t="s">
        <v>129</v>
      </c>
      <c r="AE32" s="15" t="s">
        <v>130</v>
      </c>
      <c r="AF32" s="23" t="s">
        <v>126</v>
      </c>
      <c r="AG32" s="29" t="n">
        <f aca="false">IF(OR(Z32&lt;=Weights!$C$19,AF32="Yes"),Y32,Y32-5000)</f>
        <v>-4940.50032</v>
      </c>
      <c r="AH32" s="15" t="str">
        <f aca="false">IF(OR(Z32&lt;=Weights!$C$19,AF32="Yes"),RANK(AG32,$AG$5:$AG$172,0),"")</f>
        <v/>
      </c>
    </row>
    <row r="33" customFormat="false" ht="35.05" hidden="false" customHeight="false" outlineLevel="0" collapsed="false">
      <c r="A33" s="18" t="s">
        <v>327</v>
      </c>
      <c r="B33" s="27" t="s">
        <v>328</v>
      </c>
      <c r="C33" s="18" t="s">
        <v>329</v>
      </c>
      <c r="D33" s="18" t="s">
        <v>330</v>
      </c>
      <c r="E33" s="18" t="s">
        <v>331</v>
      </c>
      <c r="F33" s="18" t="s">
        <v>153</v>
      </c>
      <c r="G33" s="15" t="n">
        <v>2024</v>
      </c>
      <c r="H33" s="15" t="n">
        <v>6</v>
      </c>
      <c r="I33" s="23" t="n">
        <v>4</v>
      </c>
      <c r="J33" s="23" t="n">
        <v>2</v>
      </c>
      <c r="K33" s="23" t="n">
        <v>3</v>
      </c>
      <c r="L33" s="23" t="n">
        <v>5</v>
      </c>
      <c r="M33" s="23" t="n">
        <v>0</v>
      </c>
      <c r="N33" s="23" t="n">
        <v>5</v>
      </c>
      <c r="O33" s="23" t="n">
        <v>2</v>
      </c>
      <c r="P33" s="23" t="n">
        <v>2.2</v>
      </c>
      <c r="Q33" s="23" t="n">
        <v>2.8</v>
      </c>
      <c r="R33" s="23" t="n">
        <v>3.8</v>
      </c>
      <c r="S33" s="23" t="n">
        <v>3</v>
      </c>
      <c r="T33" s="23" t="n">
        <v>0</v>
      </c>
      <c r="U33" s="18" t="s">
        <v>126</v>
      </c>
      <c r="V33" s="18"/>
      <c r="W33" s="28" t="n">
        <f aca="false">MIN(100,MAX(0,ROUND(SUMPRODUCT(I33:S33,$I$3:$S$3)/SUM($I$3:$S$3)/5*100+T33,1)))</f>
        <v>60.2</v>
      </c>
      <c r="X33" s="15" t="str">
        <f aca="false">IF(U33="Yes","No","Yes")</f>
        <v>Yes</v>
      </c>
      <c r="Y33" s="29" t="n">
        <f aca="false">IF(X33="Yes",W33,W33-1000)-ROW()/100000</f>
        <v>60.19967</v>
      </c>
      <c r="Z33" s="15" t="n">
        <f aca="false">RANK(Y33,$Y$5:$Y$172,0)</f>
        <v>78</v>
      </c>
      <c r="AA33" s="15" t="str">
        <f aca="false">IF(X33="No","Hold – resolve flag",IF(Z33&lt;=Weights!$C$18,"Tier 1 – Flagship launch",IF(OR(Z33&lt;=Weights!$C$19,AF33="Yes"),"Tier 2 – Priority",IF(Z33&lt;=Weights!$C$20,"Tier 3 – Standard rotation","Tier 4 – Reserve"))))</f>
        <v>Tier 3 – Standard rotation</v>
      </c>
      <c r="AB33" s="18" t="s">
        <v>332</v>
      </c>
      <c r="AC33" s="27" t="s">
        <v>333</v>
      </c>
      <c r="AD33" s="18" t="s">
        <v>334</v>
      </c>
      <c r="AE33" s="15" t="s">
        <v>130</v>
      </c>
      <c r="AF33" s="23" t="s">
        <v>126</v>
      </c>
      <c r="AG33" s="29" t="n">
        <f aca="false">IF(OR(Z33&lt;=Weights!$C$19,AF33="Yes"),Y33,Y33-5000)</f>
        <v>-4939.80033</v>
      </c>
      <c r="AH33" s="15" t="str">
        <f aca="false">IF(OR(Z33&lt;=Weights!$C$19,AF33="Yes"),RANK(AG33,$AG$5:$AG$172,0),"")</f>
        <v/>
      </c>
    </row>
    <row r="34" customFormat="false" ht="35.05" hidden="false" customHeight="false" outlineLevel="0" collapsed="false">
      <c r="A34" s="18" t="s">
        <v>335</v>
      </c>
      <c r="B34" s="27" t="s">
        <v>336</v>
      </c>
      <c r="C34" s="18" t="s">
        <v>337</v>
      </c>
      <c r="D34" s="18" t="s">
        <v>338</v>
      </c>
      <c r="E34" s="18" t="s">
        <v>339</v>
      </c>
      <c r="F34" s="18" t="s">
        <v>137</v>
      </c>
      <c r="G34" s="15" t="n">
        <v>2024</v>
      </c>
      <c r="H34" s="15" t="n">
        <v>7</v>
      </c>
      <c r="I34" s="23" t="n">
        <v>4</v>
      </c>
      <c r="J34" s="23" t="n">
        <v>5</v>
      </c>
      <c r="K34" s="23" t="n">
        <v>3</v>
      </c>
      <c r="L34" s="23" t="n">
        <v>3</v>
      </c>
      <c r="M34" s="23" t="n">
        <v>3</v>
      </c>
      <c r="N34" s="23" t="n">
        <v>0</v>
      </c>
      <c r="O34" s="23" t="n">
        <v>3</v>
      </c>
      <c r="P34" s="23" t="n">
        <v>2.2</v>
      </c>
      <c r="Q34" s="23" t="n">
        <v>4.8</v>
      </c>
      <c r="R34" s="23" t="n">
        <v>3.8</v>
      </c>
      <c r="S34" s="23" t="n">
        <v>4</v>
      </c>
      <c r="T34" s="23" t="n">
        <v>0</v>
      </c>
      <c r="U34" s="18" t="s">
        <v>126</v>
      </c>
      <c r="V34" s="18"/>
      <c r="W34" s="28" t="n">
        <f aca="false">MIN(100,MAX(0,ROUND(SUMPRODUCT(I34:S34,$I$3:$S$3)/SUM($I$3:$S$3)/5*100+T34,1)))</f>
        <v>68.4</v>
      </c>
      <c r="X34" s="15" t="str">
        <f aca="false">IF(U34="Yes","No","Yes")</f>
        <v>Yes</v>
      </c>
      <c r="Y34" s="29" t="n">
        <f aca="false">IF(X34="Yes",W34,W34-1000)-ROW()/100000</f>
        <v>68.39966</v>
      </c>
      <c r="Z34" s="15" t="n">
        <f aca="false">RANK(Y34,$Y$5:$Y$172,0)</f>
        <v>24</v>
      </c>
      <c r="AA34" s="15" t="str">
        <f aca="false">IF(X34="No","Hold – resolve flag",IF(Z34&lt;=Weights!$C$18,"Tier 1 – Flagship launch",IF(OR(Z34&lt;=Weights!$C$19,AF34="Yes"),"Tier 2 – Priority",IF(Z34&lt;=Weights!$C$20,"Tier 3 – Standard rotation","Tier 4 – Reserve"))))</f>
        <v>Tier 2 – Priority</v>
      </c>
      <c r="AB34" s="18" t="s">
        <v>340</v>
      </c>
      <c r="AC34" s="27" t="s">
        <v>341</v>
      </c>
      <c r="AD34" s="18" t="s">
        <v>129</v>
      </c>
      <c r="AE34" s="15" t="s">
        <v>130</v>
      </c>
      <c r="AF34" s="23" t="s">
        <v>131</v>
      </c>
      <c r="AG34" s="29" t="n">
        <f aca="false">IF(OR(Z34&lt;=Weights!$C$19,AF34="Yes"),Y34,Y34-5000)</f>
        <v>68.39966</v>
      </c>
      <c r="AH34" s="15" t="n">
        <f aca="false">IF(OR(Z34&lt;=Weights!$C$19,AF34="Yes"),RANK(AG34,$AG$5:$AG$172,0),"")</f>
        <v>24</v>
      </c>
    </row>
    <row r="35" customFormat="false" ht="35.05" hidden="false" customHeight="false" outlineLevel="0" collapsed="false">
      <c r="A35" s="18" t="s">
        <v>342</v>
      </c>
      <c r="B35" s="27" t="s">
        <v>343</v>
      </c>
      <c r="C35" s="18" t="s">
        <v>344</v>
      </c>
      <c r="D35" s="18" t="s">
        <v>345</v>
      </c>
      <c r="E35" s="18" t="s">
        <v>346</v>
      </c>
      <c r="F35" s="18" t="s">
        <v>153</v>
      </c>
      <c r="G35" s="15" t="n">
        <v>2024</v>
      </c>
      <c r="H35" s="15" t="n">
        <v>4</v>
      </c>
      <c r="I35" s="23" t="n">
        <v>4</v>
      </c>
      <c r="J35" s="23" t="n">
        <v>2</v>
      </c>
      <c r="K35" s="23" t="n">
        <v>4</v>
      </c>
      <c r="L35" s="23" t="n">
        <v>5</v>
      </c>
      <c r="M35" s="23" t="n">
        <v>0</v>
      </c>
      <c r="N35" s="23" t="n">
        <v>0</v>
      </c>
      <c r="O35" s="23" t="n">
        <v>2</v>
      </c>
      <c r="P35" s="23" t="n">
        <v>2.8</v>
      </c>
      <c r="Q35" s="23" t="n">
        <v>4</v>
      </c>
      <c r="R35" s="23" t="n">
        <v>3.5</v>
      </c>
      <c r="S35" s="23" t="n">
        <v>3</v>
      </c>
      <c r="T35" s="23" t="n">
        <v>0</v>
      </c>
      <c r="U35" s="18" t="s">
        <v>126</v>
      </c>
      <c r="V35" s="18"/>
      <c r="W35" s="28" t="n">
        <f aca="false">MIN(100,MAX(0,ROUND(SUMPRODUCT(I35:S35,$I$3:$S$3)/SUM($I$3:$S$3)/5*100+T35,1)))</f>
        <v>57.8</v>
      </c>
      <c r="X35" s="15" t="str">
        <f aca="false">IF(U35="Yes","No","Yes")</f>
        <v>Yes</v>
      </c>
      <c r="Y35" s="29" t="n">
        <f aca="false">IF(X35="Yes",W35,W35-1000)-ROW()/100000</f>
        <v>57.79965</v>
      </c>
      <c r="Z35" s="15" t="n">
        <f aca="false">RANK(Y35,$Y$5:$Y$172,0)</f>
        <v>101</v>
      </c>
      <c r="AA35" s="15" t="str">
        <f aca="false">IF(X35="No","Hold – resolve flag",IF(Z35&lt;=Weights!$C$18,"Tier 1 – Flagship launch",IF(OR(Z35&lt;=Weights!$C$19,AF35="Yes"),"Tier 2 – Priority",IF(Z35&lt;=Weights!$C$20,"Tier 3 – Standard rotation","Tier 4 – Reserve"))))</f>
        <v>Tier 4 – Reserve</v>
      </c>
      <c r="AB35" s="18" t="s">
        <v>347</v>
      </c>
      <c r="AC35" s="27" t="s">
        <v>348</v>
      </c>
      <c r="AD35" s="18" t="s">
        <v>349</v>
      </c>
      <c r="AE35" s="15" t="s">
        <v>130</v>
      </c>
      <c r="AF35" s="23" t="s">
        <v>126</v>
      </c>
      <c r="AG35" s="29" t="n">
        <f aca="false">IF(OR(Z35&lt;=Weights!$C$19,AF35="Yes"),Y35,Y35-5000)</f>
        <v>-4942.20035</v>
      </c>
      <c r="AH35" s="15" t="str">
        <f aca="false">IF(OR(Z35&lt;=Weights!$C$19,AF35="Yes"),RANK(AG35,$AG$5:$AG$172,0),"")</f>
        <v/>
      </c>
    </row>
    <row r="36" customFormat="false" ht="35.05" hidden="false" customHeight="false" outlineLevel="0" collapsed="false">
      <c r="A36" s="18" t="s">
        <v>350</v>
      </c>
      <c r="B36" s="27" t="s">
        <v>351</v>
      </c>
      <c r="C36" s="18" t="s">
        <v>352</v>
      </c>
      <c r="D36" s="18" t="s">
        <v>353</v>
      </c>
      <c r="E36" s="18" t="s">
        <v>290</v>
      </c>
      <c r="F36" s="18" t="s">
        <v>354</v>
      </c>
      <c r="G36" s="15" t="n">
        <v>2025</v>
      </c>
      <c r="H36" s="15" t="s">
        <v>138</v>
      </c>
      <c r="I36" s="23" t="n">
        <v>5</v>
      </c>
      <c r="J36" s="23" t="n">
        <v>4</v>
      </c>
      <c r="K36" s="23" t="n">
        <v>2</v>
      </c>
      <c r="L36" s="23" t="n">
        <v>5</v>
      </c>
      <c r="M36" s="23" t="n">
        <v>0</v>
      </c>
      <c r="N36" s="23" t="n">
        <v>0</v>
      </c>
      <c r="O36" s="23" t="n">
        <v>2</v>
      </c>
      <c r="P36" s="23" t="n">
        <v>3</v>
      </c>
      <c r="Q36" s="23" t="n">
        <v>4.6</v>
      </c>
      <c r="R36" s="23" t="n">
        <v>3.2</v>
      </c>
      <c r="S36" s="23" t="n">
        <v>5</v>
      </c>
      <c r="T36" s="23" t="n">
        <v>0</v>
      </c>
      <c r="U36" s="18" t="s">
        <v>126</v>
      </c>
      <c r="V36" s="18"/>
      <c r="W36" s="28" t="n">
        <f aca="false">MIN(100,MAX(0,ROUND(SUMPRODUCT(I36:S36,$I$3:$S$3)/SUM($I$3:$S$3)/5*100+T36,1)))</f>
        <v>64.6</v>
      </c>
      <c r="X36" s="15" t="str">
        <f aca="false">IF(U36="Yes","No","Yes")</f>
        <v>Yes</v>
      </c>
      <c r="Y36" s="29" t="n">
        <f aca="false">IF(X36="Yes",W36,W36-1000)-ROW()/100000</f>
        <v>64.59964</v>
      </c>
      <c r="Z36" s="15" t="n">
        <f aca="false">RANK(Y36,$Y$5:$Y$172,0)</f>
        <v>48</v>
      </c>
      <c r="AA36" s="15" t="str">
        <f aca="false">IF(X36="No","Hold – resolve flag",IF(Z36&lt;=Weights!$C$18,"Tier 1 – Flagship launch",IF(OR(Z36&lt;=Weights!$C$19,AF36="Yes"),"Tier 2 – Priority",IF(Z36&lt;=Weights!$C$20,"Tier 3 – Standard rotation","Tier 4 – Reserve"))))</f>
        <v>Tier 2 – Priority</v>
      </c>
      <c r="AB36" s="18" t="s">
        <v>355</v>
      </c>
      <c r="AC36" s="27" t="s">
        <v>356</v>
      </c>
      <c r="AD36" s="18" t="s">
        <v>357</v>
      </c>
      <c r="AE36" s="15" t="s">
        <v>217</v>
      </c>
      <c r="AF36" s="23" t="s">
        <v>131</v>
      </c>
      <c r="AG36" s="29" t="n">
        <f aca="false">IF(OR(Z36&lt;=Weights!$C$19,AF36="Yes"),Y36,Y36-5000)</f>
        <v>64.59964</v>
      </c>
      <c r="AH36" s="15" t="n">
        <f aca="false">IF(OR(Z36&lt;=Weights!$C$19,AF36="Yes"),RANK(AG36,$AG$5:$AG$172,0),"")</f>
        <v>38</v>
      </c>
    </row>
    <row r="37" customFormat="false" ht="35.05" hidden="false" customHeight="false" outlineLevel="0" collapsed="false">
      <c r="A37" s="18" t="s">
        <v>358</v>
      </c>
      <c r="B37" s="27" t="s">
        <v>359</v>
      </c>
      <c r="C37" s="18" t="s">
        <v>360</v>
      </c>
      <c r="D37" s="18" t="s">
        <v>361</v>
      </c>
      <c r="E37" s="18" t="s">
        <v>362</v>
      </c>
      <c r="F37" s="18" t="s">
        <v>354</v>
      </c>
      <c r="G37" s="15" t="n">
        <v>2025</v>
      </c>
      <c r="H37" s="15" t="s">
        <v>138</v>
      </c>
      <c r="I37" s="23" t="n">
        <v>4</v>
      </c>
      <c r="J37" s="23" t="n">
        <v>4</v>
      </c>
      <c r="K37" s="23" t="n">
        <v>2</v>
      </c>
      <c r="L37" s="23" t="n">
        <v>5</v>
      </c>
      <c r="M37" s="23" t="n">
        <v>0</v>
      </c>
      <c r="N37" s="23" t="n">
        <v>0</v>
      </c>
      <c r="O37" s="23" t="n">
        <v>2</v>
      </c>
      <c r="P37" s="23" t="n">
        <v>2.2</v>
      </c>
      <c r="Q37" s="23" t="n">
        <v>2</v>
      </c>
      <c r="R37" s="23" t="n">
        <v>0.5</v>
      </c>
      <c r="S37" s="23" t="n">
        <v>5</v>
      </c>
      <c r="T37" s="23" t="n">
        <v>0</v>
      </c>
      <c r="U37" s="18" t="s">
        <v>126</v>
      </c>
      <c r="V37" s="18"/>
      <c r="W37" s="28" t="n">
        <f aca="false">MIN(100,MAX(0,ROUND(SUMPRODUCT(I37:S37,$I$3:$S$3)/SUM($I$3:$S$3)/5*100+T37,1)))</f>
        <v>49.4</v>
      </c>
      <c r="X37" s="15" t="str">
        <f aca="false">IF(U37="Yes","No","Yes")</f>
        <v>Yes</v>
      </c>
      <c r="Y37" s="29" t="n">
        <f aca="false">IF(X37="Yes",W37,W37-1000)-ROW()/100000</f>
        <v>49.39963</v>
      </c>
      <c r="Z37" s="15" t="n">
        <f aca="false">RANK(Y37,$Y$5:$Y$172,0)</f>
        <v>147</v>
      </c>
      <c r="AA37" s="15" t="str">
        <f aca="false">IF(X37="No","Hold – resolve flag",IF(Z37&lt;=Weights!$C$18,"Tier 1 – Flagship launch",IF(OR(Z37&lt;=Weights!$C$19,AF37="Yes"),"Tier 2 – Priority",IF(Z37&lt;=Weights!$C$20,"Tier 3 – Standard rotation","Tier 4 – Reserve"))))</f>
        <v>Tier 4 – Reserve</v>
      </c>
      <c r="AB37" s="18" t="s">
        <v>363</v>
      </c>
      <c r="AC37" s="27" t="s">
        <v>364</v>
      </c>
      <c r="AD37" s="18" t="s">
        <v>365</v>
      </c>
      <c r="AE37" s="15" t="s">
        <v>130</v>
      </c>
      <c r="AF37" s="23" t="s">
        <v>126</v>
      </c>
      <c r="AG37" s="29" t="n">
        <f aca="false">IF(OR(Z37&lt;=Weights!$C$19,AF37="Yes"),Y37,Y37-5000)</f>
        <v>-4950.60037</v>
      </c>
      <c r="AH37" s="15" t="str">
        <f aca="false">IF(OR(Z37&lt;=Weights!$C$19,AF37="Yes"),RANK(AG37,$AG$5:$AG$172,0),"")</f>
        <v/>
      </c>
    </row>
    <row r="38" customFormat="false" ht="35.05" hidden="false" customHeight="false" outlineLevel="0" collapsed="false">
      <c r="A38" s="18" t="s">
        <v>366</v>
      </c>
      <c r="B38" s="27" t="s">
        <v>367</v>
      </c>
      <c r="C38" s="18" t="s">
        <v>368</v>
      </c>
      <c r="D38" s="18" t="s">
        <v>361</v>
      </c>
      <c r="E38" s="18" t="s">
        <v>369</v>
      </c>
      <c r="F38" s="18" t="s">
        <v>354</v>
      </c>
      <c r="G38" s="15" t="n">
        <v>2025</v>
      </c>
      <c r="H38" s="15" t="s">
        <v>138</v>
      </c>
      <c r="I38" s="23" t="n">
        <v>5</v>
      </c>
      <c r="J38" s="23" t="n">
        <v>4</v>
      </c>
      <c r="K38" s="23" t="n">
        <v>2</v>
      </c>
      <c r="L38" s="23" t="n">
        <v>5</v>
      </c>
      <c r="M38" s="23" t="n">
        <v>0</v>
      </c>
      <c r="N38" s="23" t="n">
        <v>0</v>
      </c>
      <c r="O38" s="23" t="n">
        <v>2</v>
      </c>
      <c r="P38" s="23" t="n">
        <v>2.2</v>
      </c>
      <c r="Q38" s="23" t="n">
        <v>2</v>
      </c>
      <c r="R38" s="23" t="n">
        <v>0.5</v>
      </c>
      <c r="S38" s="23" t="n">
        <v>5</v>
      </c>
      <c r="T38" s="23" t="n">
        <v>0</v>
      </c>
      <c r="U38" s="18" t="s">
        <v>126</v>
      </c>
      <c r="V38" s="18"/>
      <c r="W38" s="28" t="n">
        <f aca="false">MIN(100,MAX(0,ROUND(SUMPRODUCT(I38:S38,$I$3:$S$3)/SUM($I$3:$S$3)/5*100+T38,1)))</f>
        <v>51</v>
      </c>
      <c r="X38" s="15" t="str">
        <f aca="false">IF(U38="Yes","No","Yes")</f>
        <v>Yes</v>
      </c>
      <c r="Y38" s="29" t="n">
        <f aca="false">IF(X38="Yes",W38,W38-1000)-ROW()/100000</f>
        <v>50.99962</v>
      </c>
      <c r="Z38" s="15" t="n">
        <f aca="false">RANK(Y38,$Y$5:$Y$172,0)</f>
        <v>141</v>
      </c>
      <c r="AA38" s="15" t="str">
        <f aca="false">IF(X38="No","Hold – resolve flag",IF(Z38&lt;=Weights!$C$18,"Tier 1 – Flagship launch",IF(OR(Z38&lt;=Weights!$C$19,AF38="Yes"),"Tier 2 – Priority",IF(Z38&lt;=Weights!$C$20,"Tier 3 – Standard rotation","Tier 4 – Reserve"))))</f>
        <v>Tier 4 – Reserve</v>
      </c>
      <c r="AB38" s="18" t="s">
        <v>355</v>
      </c>
      <c r="AC38" s="27" t="s">
        <v>370</v>
      </c>
      <c r="AD38" s="18" t="s">
        <v>365</v>
      </c>
      <c r="AE38" s="15" t="s">
        <v>130</v>
      </c>
      <c r="AF38" s="23" t="s">
        <v>126</v>
      </c>
      <c r="AG38" s="29" t="n">
        <f aca="false">IF(OR(Z38&lt;=Weights!$C$19,AF38="Yes"),Y38,Y38-5000)</f>
        <v>-4949.00038</v>
      </c>
      <c r="AH38" s="15" t="str">
        <f aca="false">IF(OR(Z38&lt;=Weights!$C$19,AF38="Yes"),RANK(AG38,$AG$5:$AG$172,0),"")</f>
        <v/>
      </c>
    </row>
    <row r="39" customFormat="false" ht="35.05" hidden="false" customHeight="false" outlineLevel="0" collapsed="false">
      <c r="A39" s="18" t="s">
        <v>371</v>
      </c>
      <c r="B39" s="27" t="s">
        <v>372</v>
      </c>
      <c r="C39" s="18" t="s">
        <v>373</v>
      </c>
      <c r="D39" s="18" t="s">
        <v>374</v>
      </c>
      <c r="E39" s="18" t="s">
        <v>375</v>
      </c>
      <c r="F39" s="18" t="s">
        <v>354</v>
      </c>
      <c r="G39" s="15" t="n">
        <v>2025</v>
      </c>
      <c r="H39" s="15" t="s">
        <v>138</v>
      </c>
      <c r="I39" s="23" t="n">
        <v>5</v>
      </c>
      <c r="J39" s="23" t="n">
        <v>4</v>
      </c>
      <c r="K39" s="23" t="n">
        <v>2</v>
      </c>
      <c r="L39" s="23" t="n">
        <v>5</v>
      </c>
      <c r="M39" s="23" t="n">
        <v>0</v>
      </c>
      <c r="N39" s="23" t="n">
        <v>5</v>
      </c>
      <c r="O39" s="23" t="n">
        <v>2</v>
      </c>
      <c r="P39" s="23" t="n">
        <v>5</v>
      </c>
      <c r="Q39" s="23" t="n">
        <v>4.6</v>
      </c>
      <c r="R39" s="23" t="n">
        <v>1.5</v>
      </c>
      <c r="S39" s="23" t="n">
        <v>5</v>
      </c>
      <c r="T39" s="23" t="n">
        <v>0</v>
      </c>
      <c r="U39" s="18" t="s">
        <v>126</v>
      </c>
      <c r="V39" s="18"/>
      <c r="W39" s="28" t="n">
        <f aca="false">MIN(100,MAX(0,ROUND(SUMPRODUCT(I39:S39,$I$3:$S$3)/SUM($I$3:$S$3)/5*100+T39,1)))</f>
        <v>68.7</v>
      </c>
      <c r="X39" s="15" t="str">
        <f aca="false">IF(U39="Yes","No","Yes")</f>
        <v>Yes</v>
      </c>
      <c r="Y39" s="29" t="n">
        <f aca="false">IF(X39="Yes",W39,W39-1000)-ROW()/100000</f>
        <v>68.69961</v>
      </c>
      <c r="Z39" s="15" t="n">
        <f aca="false">RANK(Y39,$Y$5:$Y$172,0)</f>
        <v>22</v>
      </c>
      <c r="AA39" s="15" t="str">
        <f aca="false">IF(X39="No","Hold – resolve flag",IF(Z39&lt;=Weights!$C$18,"Tier 1 – Flagship launch",IF(OR(Z39&lt;=Weights!$C$19,AF39="Yes"),"Tier 2 – Priority",IF(Z39&lt;=Weights!$C$20,"Tier 3 – Standard rotation","Tier 4 – Reserve"))))</f>
        <v>Tier 2 – Priority</v>
      </c>
      <c r="AB39" s="18" t="s">
        <v>376</v>
      </c>
      <c r="AC39" s="27" t="s">
        <v>377</v>
      </c>
      <c r="AD39" s="18" t="s">
        <v>156</v>
      </c>
      <c r="AE39" s="15" t="s">
        <v>130</v>
      </c>
      <c r="AF39" s="23" t="s">
        <v>126</v>
      </c>
      <c r="AG39" s="29" t="n">
        <f aca="false">IF(OR(Z39&lt;=Weights!$C$19,AF39="Yes"),Y39,Y39-5000)</f>
        <v>68.69961</v>
      </c>
      <c r="AH39" s="15" t="n">
        <f aca="false">IF(OR(Z39&lt;=Weights!$C$19,AF39="Yes"),RANK(AG39,$AG$5:$AG$172,0),"")</f>
        <v>22</v>
      </c>
    </row>
    <row r="40" customFormat="false" ht="35.05" hidden="false" customHeight="false" outlineLevel="0" collapsed="false">
      <c r="A40" s="18" t="s">
        <v>378</v>
      </c>
      <c r="B40" s="27" t="s">
        <v>379</v>
      </c>
      <c r="C40" s="18" t="s">
        <v>380</v>
      </c>
      <c r="D40" s="18" t="s">
        <v>381</v>
      </c>
      <c r="E40" s="18" t="s">
        <v>382</v>
      </c>
      <c r="F40" s="18" t="s">
        <v>383</v>
      </c>
      <c r="G40" s="15" t="n">
        <v>2025</v>
      </c>
      <c r="H40" s="15" t="s">
        <v>138</v>
      </c>
      <c r="I40" s="23" t="n">
        <v>2</v>
      </c>
      <c r="J40" s="23" t="n">
        <v>5</v>
      </c>
      <c r="K40" s="23" t="n">
        <v>2</v>
      </c>
      <c r="L40" s="23" t="n">
        <v>5</v>
      </c>
      <c r="M40" s="23" t="n">
        <v>0</v>
      </c>
      <c r="N40" s="23" t="n">
        <v>0</v>
      </c>
      <c r="O40" s="23" t="n">
        <v>2</v>
      </c>
      <c r="P40" s="23" t="n">
        <v>4.2</v>
      </c>
      <c r="Q40" s="23" t="n">
        <v>3</v>
      </c>
      <c r="R40" s="23" t="n">
        <v>1.5</v>
      </c>
      <c r="S40" s="23" t="n">
        <v>4</v>
      </c>
      <c r="T40" s="23" t="n">
        <v>0</v>
      </c>
      <c r="U40" s="18" t="s">
        <v>126</v>
      </c>
      <c r="V40" s="18"/>
      <c r="W40" s="28" t="n">
        <f aca="false">MIN(100,MAX(0,ROUND(SUMPRODUCT(I40:S40,$I$3:$S$3)/SUM($I$3:$S$3)/5*100+T40,1)))</f>
        <v>54.8</v>
      </c>
      <c r="X40" s="15" t="str">
        <f aca="false">IF(U40="Yes","No","Yes")</f>
        <v>Yes</v>
      </c>
      <c r="Y40" s="29" t="n">
        <f aca="false">IF(X40="Yes",W40,W40-1000)-ROW()/100000</f>
        <v>54.7996</v>
      </c>
      <c r="Z40" s="15" t="n">
        <f aca="false">RANK(Y40,$Y$5:$Y$172,0)</f>
        <v>124</v>
      </c>
      <c r="AA40" s="15" t="str">
        <f aca="false">IF(X40="No","Hold – resolve flag",IF(Z40&lt;=Weights!$C$18,"Tier 1 – Flagship launch",IF(OR(Z40&lt;=Weights!$C$19,AF40="Yes"),"Tier 2 – Priority",IF(Z40&lt;=Weights!$C$20,"Tier 3 – Standard rotation","Tier 4 – Reserve"))))</f>
        <v>Tier 4 – Reserve</v>
      </c>
      <c r="AB40" s="18" t="s">
        <v>384</v>
      </c>
      <c r="AC40" s="27" t="s">
        <v>385</v>
      </c>
      <c r="AD40" s="18" t="s">
        <v>224</v>
      </c>
      <c r="AE40" s="15" t="s">
        <v>130</v>
      </c>
      <c r="AF40" s="23" t="s">
        <v>126</v>
      </c>
      <c r="AG40" s="29" t="n">
        <f aca="false">IF(OR(Z40&lt;=Weights!$C$19,AF40="Yes"),Y40,Y40-5000)</f>
        <v>-4945.2004</v>
      </c>
      <c r="AH40" s="15" t="str">
        <f aca="false">IF(OR(Z40&lt;=Weights!$C$19,AF40="Yes"),RANK(AG40,$AG$5:$AG$172,0),"")</f>
        <v/>
      </c>
    </row>
    <row r="41" customFormat="false" ht="35.05" hidden="false" customHeight="false" outlineLevel="0" collapsed="false">
      <c r="A41" s="18" t="s">
        <v>386</v>
      </c>
      <c r="B41" s="27" t="s">
        <v>387</v>
      </c>
      <c r="C41" s="18" t="s">
        <v>388</v>
      </c>
      <c r="D41" s="18" t="s">
        <v>144</v>
      </c>
      <c r="E41" s="18" t="s">
        <v>389</v>
      </c>
      <c r="F41" s="18" t="s">
        <v>383</v>
      </c>
      <c r="G41" s="15" t="n">
        <v>2025</v>
      </c>
      <c r="H41" s="15" t="s">
        <v>138</v>
      </c>
      <c r="I41" s="23" t="n">
        <v>4</v>
      </c>
      <c r="J41" s="23" t="n">
        <v>3</v>
      </c>
      <c r="K41" s="23" t="n">
        <v>2</v>
      </c>
      <c r="L41" s="23" t="n">
        <v>4</v>
      </c>
      <c r="M41" s="23" t="n">
        <v>0</v>
      </c>
      <c r="N41" s="23" t="n">
        <v>0</v>
      </c>
      <c r="O41" s="23" t="n">
        <v>2</v>
      </c>
      <c r="P41" s="23" t="n">
        <v>2.2</v>
      </c>
      <c r="Q41" s="23" t="n">
        <v>4</v>
      </c>
      <c r="R41" s="23" t="n">
        <v>2</v>
      </c>
      <c r="S41" s="23" t="n">
        <v>3</v>
      </c>
      <c r="T41" s="23" t="n">
        <v>0</v>
      </c>
      <c r="U41" s="18" t="s">
        <v>126</v>
      </c>
      <c r="V41" s="18"/>
      <c r="W41" s="28" t="n">
        <f aca="false">MIN(100,MAX(0,ROUND(SUMPRODUCT(I41:S41,$I$3:$S$3)/SUM($I$3:$S$3)/5*100+T41,1)))</f>
        <v>49.5</v>
      </c>
      <c r="X41" s="15" t="str">
        <f aca="false">IF(U41="Yes","No","Yes")</f>
        <v>Yes</v>
      </c>
      <c r="Y41" s="29" t="n">
        <f aca="false">IF(X41="Yes",W41,W41-1000)-ROW()/100000</f>
        <v>49.49959</v>
      </c>
      <c r="Z41" s="15" t="n">
        <f aca="false">RANK(Y41,$Y$5:$Y$172,0)</f>
        <v>145</v>
      </c>
      <c r="AA41" s="15" t="str">
        <f aca="false">IF(X41="No","Hold – resolve flag",IF(Z41&lt;=Weights!$C$18,"Tier 1 – Flagship launch",IF(OR(Z41&lt;=Weights!$C$19,AF41="Yes"),"Tier 2 – Priority",IF(Z41&lt;=Weights!$C$20,"Tier 3 – Standard rotation","Tier 4 – Reserve"))))</f>
        <v>Tier 4 – Reserve</v>
      </c>
      <c r="AB41" s="18" t="s">
        <v>390</v>
      </c>
      <c r="AC41" s="27" t="s">
        <v>391</v>
      </c>
      <c r="AD41" s="18" t="s">
        <v>357</v>
      </c>
      <c r="AE41" s="15" t="s">
        <v>217</v>
      </c>
      <c r="AF41" s="23" t="s">
        <v>126</v>
      </c>
      <c r="AG41" s="29" t="n">
        <f aca="false">IF(OR(Z41&lt;=Weights!$C$19,AF41="Yes"),Y41,Y41-5000)</f>
        <v>-4950.50041</v>
      </c>
      <c r="AH41" s="15" t="str">
        <f aca="false">IF(OR(Z41&lt;=Weights!$C$19,AF41="Yes"),RANK(AG41,$AG$5:$AG$172,0),"")</f>
        <v/>
      </c>
    </row>
    <row r="42" customFormat="false" ht="35.05" hidden="false" customHeight="false" outlineLevel="0" collapsed="false">
      <c r="A42" s="18" t="s">
        <v>392</v>
      </c>
      <c r="B42" s="27" t="s">
        <v>393</v>
      </c>
      <c r="C42" s="18" t="s">
        <v>394</v>
      </c>
      <c r="D42" s="18" t="s">
        <v>228</v>
      </c>
      <c r="E42" s="18" t="s">
        <v>395</v>
      </c>
      <c r="F42" s="18" t="s">
        <v>125</v>
      </c>
      <c r="G42" s="15" t="n">
        <v>2025</v>
      </c>
      <c r="H42" s="15" t="n">
        <v>6</v>
      </c>
      <c r="I42" s="23" t="n">
        <v>4</v>
      </c>
      <c r="J42" s="23" t="n">
        <v>4</v>
      </c>
      <c r="K42" s="23" t="n">
        <v>3</v>
      </c>
      <c r="L42" s="23" t="n">
        <v>2</v>
      </c>
      <c r="M42" s="23" t="n">
        <v>3</v>
      </c>
      <c r="N42" s="23" t="n">
        <v>0</v>
      </c>
      <c r="O42" s="23" t="n">
        <v>3</v>
      </c>
      <c r="P42" s="23" t="n">
        <v>5</v>
      </c>
      <c r="Q42" s="23" t="n">
        <v>4.3</v>
      </c>
      <c r="R42" s="23" t="n">
        <v>3.5</v>
      </c>
      <c r="S42" s="23" t="n">
        <v>5</v>
      </c>
      <c r="T42" s="23" t="n">
        <v>0</v>
      </c>
      <c r="U42" s="18" t="s">
        <v>126</v>
      </c>
      <c r="V42" s="18"/>
      <c r="W42" s="28" t="n">
        <f aca="false">MIN(100,MAX(0,ROUND(SUMPRODUCT(I42:S42,$I$3:$S$3)/SUM($I$3:$S$3)/5*100+T42,1)))</f>
        <v>68.4</v>
      </c>
      <c r="X42" s="15" t="str">
        <f aca="false">IF(U42="Yes","No","Yes")</f>
        <v>Yes</v>
      </c>
      <c r="Y42" s="29" t="n">
        <f aca="false">IF(X42="Yes",W42,W42-1000)-ROW()/100000</f>
        <v>68.39958</v>
      </c>
      <c r="Z42" s="15" t="n">
        <f aca="false">RANK(Y42,$Y$5:$Y$172,0)</f>
        <v>25</v>
      </c>
      <c r="AA42" s="15" t="str">
        <f aca="false">IF(X42="No","Hold – resolve flag",IF(Z42&lt;=Weights!$C$18,"Tier 1 – Flagship launch",IF(OR(Z42&lt;=Weights!$C$19,AF42="Yes"),"Tier 2 – Priority",IF(Z42&lt;=Weights!$C$20,"Tier 3 – Standard rotation","Tier 4 – Reserve"))))</f>
        <v>Tier 2 – Priority</v>
      </c>
      <c r="AB42" s="18" t="s">
        <v>396</v>
      </c>
      <c r="AC42" s="27" t="s">
        <v>397</v>
      </c>
      <c r="AD42" s="18" t="s">
        <v>129</v>
      </c>
      <c r="AE42" s="15" t="s">
        <v>130</v>
      </c>
      <c r="AF42" s="23" t="s">
        <v>126</v>
      </c>
      <c r="AG42" s="29" t="n">
        <f aca="false">IF(OR(Z42&lt;=Weights!$C$19,AF42="Yes"),Y42,Y42-5000)</f>
        <v>68.39958</v>
      </c>
      <c r="AH42" s="15" t="n">
        <f aca="false">IF(OR(Z42&lt;=Weights!$C$19,AF42="Yes"),RANK(AG42,$AG$5:$AG$172,0),"")</f>
        <v>25</v>
      </c>
    </row>
    <row r="43" customFormat="false" ht="35.05" hidden="false" customHeight="false" outlineLevel="0" collapsed="false">
      <c r="A43" s="18" t="s">
        <v>398</v>
      </c>
      <c r="B43" s="27" t="s">
        <v>399</v>
      </c>
      <c r="C43" s="18" t="s">
        <v>400</v>
      </c>
      <c r="D43" s="18" t="s">
        <v>401</v>
      </c>
      <c r="E43" s="18" t="s">
        <v>402</v>
      </c>
      <c r="F43" s="18" t="s">
        <v>213</v>
      </c>
      <c r="G43" s="15" t="n">
        <v>2025</v>
      </c>
      <c r="H43" s="15" t="s">
        <v>138</v>
      </c>
      <c r="I43" s="23" t="n">
        <v>4</v>
      </c>
      <c r="J43" s="23" t="n">
        <v>4</v>
      </c>
      <c r="K43" s="23" t="n">
        <v>2</v>
      </c>
      <c r="L43" s="23" t="n">
        <v>5</v>
      </c>
      <c r="M43" s="23" t="n">
        <v>0</v>
      </c>
      <c r="N43" s="23" t="n">
        <v>0</v>
      </c>
      <c r="O43" s="23" t="n">
        <v>2</v>
      </c>
      <c r="P43" s="23" t="n">
        <v>5</v>
      </c>
      <c r="Q43" s="23" t="n">
        <v>5</v>
      </c>
      <c r="R43" s="23" t="n">
        <v>1.8</v>
      </c>
      <c r="S43" s="23" t="n">
        <v>5</v>
      </c>
      <c r="T43" s="23" t="n">
        <v>0</v>
      </c>
      <c r="U43" s="18" t="s">
        <v>126</v>
      </c>
      <c r="V43" s="18"/>
      <c r="W43" s="28" t="n">
        <f aca="false">MIN(100,MAX(0,ROUND(SUMPRODUCT(I43:S43,$I$3:$S$3)/SUM($I$3:$S$3)/5*100+T43,1)))</f>
        <v>62.6</v>
      </c>
      <c r="X43" s="15" t="str">
        <f aca="false">IF(U43="Yes","No","Yes")</f>
        <v>Yes</v>
      </c>
      <c r="Y43" s="29" t="n">
        <f aca="false">IF(X43="Yes",W43,W43-1000)-ROW()/100000</f>
        <v>62.59957</v>
      </c>
      <c r="Z43" s="15" t="n">
        <f aca="false">RANK(Y43,$Y$5:$Y$172,0)</f>
        <v>62</v>
      </c>
      <c r="AA43" s="15" t="str">
        <f aca="false">IF(X43="No","Hold – resolve flag",IF(Z43&lt;=Weights!$C$18,"Tier 1 – Flagship launch",IF(OR(Z43&lt;=Weights!$C$19,AF43="Yes"),"Tier 2 – Priority",IF(Z43&lt;=Weights!$C$20,"Tier 3 – Standard rotation","Tier 4 – Reserve"))))</f>
        <v>Tier 3 – Standard rotation</v>
      </c>
      <c r="AB43" s="18" t="s">
        <v>403</v>
      </c>
      <c r="AC43" s="27" t="s">
        <v>404</v>
      </c>
      <c r="AD43" s="18" t="s">
        <v>156</v>
      </c>
      <c r="AE43" s="15" t="s">
        <v>130</v>
      </c>
      <c r="AF43" s="23" t="s">
        <v>126</v>
      </c>
      <c r="AG43" s="29" t="n">
        <f aca="false">IF(OR(Z43&lt;=Weights!$C$19,AF43="Yes"),Y43,Y43-5000)</f>
        <v>-4937.40043</v>
      </c>
      <c r="AH43" s="15" t="str">
        <f aca="false">IF(OR(Z43&lt;=Weights!$C$19,AF43="Yes"),RANK(AG43,$AG$5:$AG$172,0),"")</f>
        <v/>
      </c>
    </row>
    <row r="44" customFormat="false" ht="35.05" hidden="false" customHeight="false" outlineLevel="0" collapsed="false">
      <c r="A44" s="18" t="s">
        <v>405</v>
      </c>
      <c r="B44" s="27" t="s">
        <v>406</v>
      </c>
      <c r="C44" s="18" t="s">
        <v>407</v>
      </c>
      <c r="D44" s="18" t="s">
        <v>374</v>
      </c>
      <c r="E44" s="18" t="s">
        <v>408</v>
      </c>
      <c r="F44" s="18" t="s">
        <v>125</v>
      </c>
      <c r="G44" s="15" t="n">
        <v>2026</v>
      </c>
      <c r="H44" s="15" t="s">
        <v>138</v>
      </c>
      <c r="I44" s="23" t="n">
        <v>5</v>
      </c>
      <c r="J44" s="23" t="n">
        <v>4</v>
      </c>
      <c r="K44" s="23" t="n">
        <v>2</v>
      </c>
      <c r="L44" s="23" t="n">
        <v>5</v>
      </c>
      <c r="M44" s="23" t="n">
        <v>0</v>
      </c>
      <c r="N44" s="23" t="n">
        <v>5</v>
      </c>
      <c r="O44" s="23" t="n">
        <v>2</v>
      </c>
      <c r="P44" s="23" t="n">
        <v>3.5</v>
      </c>
      <c r="Q44" s="23" t="n">
        <v>5</v>
      </c>
      <c r="R44" s="23" t="n">
        <v>1.5</v>
      </c>
      <c r="S44" s="23" t="n">
        <v>5</v>
      </c>
      <c r="T44" s="23" t="n">
        <v>0</v>
      </c>
      <c r="U44" s="18" t="s">
        <v>126</v>
      </c>
      <c r="V44" s="18"/>
      <c r="W44" s="28" t="n">
        <f aca="false">MIN(100,MAX(0,ROUND(SUMPRODUCT(I44:S44,$I$3:$S$3)/SUM($I$3:$S$3)/5*100+T44,1)))</f>
        <v>66.9</v>
      </c>
      <c r="X44" s="15" t="str">
        <f aca="false">IF(U44="Yes","No","Yes")</f>
        <v>Yes</v>
      </c>
      <c r="Y44" s="29" t="n">
        <f aca="false">IF(X44="Yes",W44,W44-1000)-ROW()/100000</f>
        <v>66.89956</v>
      </c>
      <c r="Z44" s="15" t="n">
        <f aca="false">RANK(Y44,$Y$5:$Y$172,0)</f>
        <v>33</v>
      </c>
      <c r="AA44" s="15" t="str">
        <f aca="false">IF(X44="No","Hold – resolve flag",IF(Z44&lt;=Weights!$C$18,"Tier 1 – Flagship launch",IF(OR(Z44&lt;=Weights!$C$19,AF44="Yes"),"Tier 2 – Priority",IF(Z44&lt;=Weights!$C$20,"Tier 3 – Standard rotation","Tier 4 – Reserve"))))</f>
        <v>Tier 3 – Standard rotation</v>
      </c>
      <c r="AB44" s="18" t="s">
        <v>409</v>
      </c>
      <c r="AC44" s="27" t="s">
        <v>410</v>
      </c>
      <c r="AD44" s="18" t="s">
        <v>156</v>
      </c>
      <c r="AE44" s="15" t="s">
        <v>130</v>
      </c>
      <c r="AF44" s="23" t="s">
        <v>126</v>
      </c>
      <c r="AG44" s="29" t="n">
        <f aca="false">IF(OR(Z44&lt;=Weights!$C$19,AF44="Yes"),Y44,Y44-5000)</f>
        <v>-4933.10044</v>
      </c>
      <c r="AH44" s="15" t="str">
        <f aca="false">IF(OR(Z44&lt;=Weights!$C$19,AF44="Yes"),RANK(AG44,$AG$5:$AG$172,0),"")</f>
        <v/>
      </c>
    </row>
    <row r="45" customFormat="false" ht="35.05" hidden="false" customHeight="false" outlineLevel="0" collapsed="false">
      <c r="A45" s="18" t="s">
        <v>411</v>
      </c>
      <c r="B45" s="27" t="s">
        <v>412</v>
      </c>
      <c r="C45" s="18" t="s">
        <v>413</v>
      </c>
      <c r="D45" s="18" t="s">
        <v>414</v>
      </c>
      <c r="E45" s="18" t="s">
        <v>415</v>
      </c>
      <c r="F45" s="18" t="s">
        <v>354</v>
      </c>
      <c r="G45" s="15" t="n">
        <v>2026</v>
      </c>
      <c r="H45" s="15" t="s">
        <v>138</v>
      </c>
      <c r="I45" s="23" t="n">
        <v>4</v>
      </c>
      <c r="J45" s="23" t="n">
        <v>4</v>
      </c>
      <c r="K45" s="23" t="n">
        <v>2</v>
      </c>
      <c r="L45" s="23" t="n">
        <v>5</v>
      </c>
      <c r="M45" s="23" t="n">
        <v>0</v>
      </c>
      <c r="N45" s="23" t="n">
        <v>0</v>
      </c>
      <c r="O45" s="23" t="n">
        <v>2</v>
      </c>
      <c r="P45" s="23" t="n">
        <v>3.5</v>
      </c>
      <c r="Q45" s="23" t="n">
        <v>5</v>
      </c>
      <c r="R45" s="23" t="n">
        <v>2.2</v>
      </c>
      <c r="S45" s="23" t="n">
        <v>5</v>
      </c>
      <c r="T45" s="23" t="n">
        <v>0</v>
      </c>
      <c r="U45" s="18" t="s">
        <v>126</v>
      </c>
      <c r="V45" s="18"/>
      <c r="W45" s="28" t="n">
        <f aca="false">MIN(100,MAX(0,ROUND(SUMPRODUCT(I45:S45,$I$3:$S$3)/SUM($I$3:$S$3)/5*100+T45,1)))</f>
        <v>61.4</v>
      </c>
      <c r="X45" s="15" t="str">
        <f aca="false">IF(U45="Yes","No","Yes")</f>
        <v>Yes</v>
      </c>
      <c r="Y45" s="29" t="n">
        <f aca="false">IF(X45="Yes",W45,W45-1000)-ROW()/100000</f>
        <v>61.39955</v>
      </c>
      <c r="Z45" s="15" t="n">
        <f aca="false">RANK(Y45,$Y$5:$Y$172,0)</f>
        <v>72</v>
      </c>
      <c r="AA45" s="15" t="str">
        <f aca="false">IF(X45="No","Hold – resolve flag",IF(Z45&lt;=Weights!$C$18,"Tier 1 – Flagship launch",IF(OR(Z45&lt;=Weights!$C$19,AF45="Yes"),"Tier 2 – Priority",IF(Z45&lt;=Weights!$C$20,"Tier 3 – Standard rotation","Tier 4 – Reserve"))))</f>
        <v>Tier 2 – Priority</v>
      </c>
      <c r="AB45" s="18" t="s">
        <v>416</v>
      </c>
      <c r="AC45" s="27" t="s">
        <v>417</v>
      </c>
      <c r="AD45" s="18" t="s">
        <v>357</v>
      </c>
      <c r="AE45" s="15" t="s">
        <v>217</v>
      </c>
      <c r="AF45" s="23" t="s">
        <v>131</v>
      </c>
      <c r="AG45" s="29" t="n">
        <f aca="false">IF(OR(Z45&lt;=Weights!$C$19,AF45="Yes"),Y45,Y45-5000)</f>
        <v>61.39955</v>
      </c>
      <c r="AH45" s="15" t="n">
        <f aca="false">IF(OR(Z45&lt;=Weights!$C$19,AF45="Yes"),RANK(AG45,$AG$5:$AG$172,0),"")</f>
        <v>45</v>
      </c>
    </row>
    <row r="46" customFormat="false" ht="46.25" hidden="false" customHeight="false" outlineLevel="0" collapsed="false">
      <c r="A46" s="18" t="s">
        <v>418</v>
      </c>
      <c r="B46" s="27" t="s">
        <v>419</v>
      </c>
      <c r="C46" s="18" t="s">
        <v>420</v>
      </c>
      <c r="D46" s="18" t="s">
        <v>361</v>
      </c>
      <c r="E46" s="18" t="s">
        <v>421</v>
      </c>
      <c r="F46" s="18" t="s">
        <v>354</v>
      </c>
      <c r="G46" s="15" t="n">
        <v>2026</v>
      </c>
      <c r="H46" s="15" t="s">
        <v>138</v>
      </c>
      <c r="I46" s="23" t="n">
        <v>5</v>
      </c>
      <c r="J46" s="23" t="n">
        <v>4</v>
      </c>
      <c r="K46" s="23" t="n">
        <v>2</v>
      </c>
      <c r="L46" s="23" t="n">
        <v>5</v>
      </c>
      <c r="M46" s="23" t="n">
        <v>0</v>
      </c>
      <c r="N46" s="23" t="n">
        <v>0</v>
      </c>
      <c r="O46" s="23" t="n">
        <v>2</v>
      </c>
      <c r="P46" s="23" t="n">
        <v>3.5</v>
      </c>
      <c r="Q46" s="23" t="n">
        <v>4</v>
      </c>
      <c r="R46" s="23" t="n">
        <v>1.2</v>
      </c>
      <c r="S46" s="23" t="n">
        <v>5</v>
      </c>
      <c r="T46" s="23" t="n">
        <v>0</v>
      </c>
      <c r="U46" s="18" t="s">
        <v>131</v>
      </c>
      <c r="V46" s="18" t="s">
        <v>422</v>
      </c>
      <c r="W46" s="28" t="n">
        <f aca="false">MIN(100,MAX(0,ROUND(SUMPRODUCT(I46:S46,$I$3:$S$3)/SUM($I$3:$S$3)/5*100+T46,1)))</f>
        <v>58.4</v>
      </c>
      <c r="X46" s="15" t="str">
        <f aca="false">IF(U46="Yes","No","Yes")</f>
        <v>No</v>
      </c>
      <c r="Y46" s="29" t="n">
        <f aca="false">IF(X46="Yes",W46,W46-1000)-ROW()/100000</f>
        <v>-941.60046</v>
      </c>
      <c r="Z46" s="15" t="n">
        <f aca="false">RANK(Y46,$Y$5:$Y$172,0)</f>
        <v>155</v>
      </c>
      <c r="AA46" s="15" t="str">
        <f aca="false">IF(X46="No","Hold – resolve flag",IF(Z46&lt;=Weights!$C$18,"Tier 1 – Flagship launch",IF(OR(Z46&lt;=Weights!$C$19,AF46="Yes"),"Tier 2 – Priority",IF(Z46&lt;=Weights!$C$20,"Tier 3 – Standard rotation","Tier 4 – Reserve"))))</f>
        <v>Hold – resolve flag</v>
      </c>
      <c r="AB46" s="18" t="s">
        <v>423</v>
      </c>
      <c r="AC46" s="27" t="s">
        <v>424</v>
      </c>
      <c r="AD46" s="18" t="s">
        <v>425</v>
      </c>
      <c r="AE46" s="15" t="s">
        <v>217</v>
      </c>
      <c r="AF46" s="23" t="s">
        <v>126</v>
      </c>
      <c r="AG46" s="29" t="n">
        <f aca="false">IF(OR(Z46&lt;=Weights!$C$19,AF46="Yes"),Y46,Y46-5000)</f>
        <v>-5941.60046</v>
      </c>
      <c r="AH46" s="15" t="str">
        <f aca="false">IF(OR(Z46&lt;=Weights!$C$19,AF46="Yes"),RANK(AG46,$AG$5:$AG$172,0),"")</f>
        <v/>
      </c>
    </row>
    <row r="47" customFormat="false" ht="46.25" hidden="false" customHeight="false" outlineLevel="0" collapsed="false">
      <c r="A47" s="18" t="s">
        <v>426</v>
      </c>
      <c r="B47" s="27" t="s">
        <v>427</v>
      </c>
      <c r="C47" s="18" t="s">
        <v>428</v>
      </c>
      <c r="D47" s="18" t="s">
        <v>429</v>
      </c>
      <c r="E47" s="18" t="s">
        <v>430</v>
      </c>
      <c r="F47" s="18" t="s">
        <v>125</v>
      </c>
      <c r="G47" s="15" t="n">
        <v>2026</v>
      </c>
      <c r="H47" s="15" t="s">
        <v>138</v>
      </c>
      <c r="I47" s="23" t="n">
        <v>5</v>
      </c>
      <c r="J47" s="23" t="n">
        <v>4</v>
      </c>
      <c r="K47" s="23" t="n">
        <v>2</v>
      </c>
      <c r="L47" s="23" t="n">
        <v>5</v>
      </c>
      <c r="M47" s="23" t="n">
        <v>0</v>
      </c>
      <c r="N47" s="23" t="n">
        <v>0</v>
      </c>
      <c r="O47" s="23" t="n">
        <v>2</v>
      </c>
      <c r="P47" s="23" t="n">
        <v>3</v>
      </c>
      <c r="Q47" s="23" t="n">
        <v>4</v>
      </c>
      <c r="R47" s="23" t="n">
        <v>1.2</v>
      </c>
      <c r="S47" s="23" t="n">
        <v>5</v>
      </c>
      <c r="T47" s="23" t="n">
        <v>0</v>
      </c>
      <c r="U47" s="18" t="s">
        <v>131</v>
      </c>
      <c r="V47" s="18" t="s">
        <v>422</v>
      </c>
      <c r="W47" s="28" t="n">
        <f aca="false">MIN(100,MAX(0,ROUND(SUMPRODUCT(I47:S47,$I$3:$S$3)/SUM($I$3:$S$3)/5*100+T47,1)))</f>
        <v>57.6</v>
      </c>
      <c r="X47" s="15" t="str">
        <f aca="false">IF(U47="Yes","No","Yes")</f>
        <v>No</v>
      </c>
      <c r="Y47" s="29" t="n">
        <f aca="false">IF(X47="Yes",W47,W47-1000)-ROW()/100000</f>
        <v>-942.40047</v>
      </c>
      <c r="Z47" s="15" t="n">
        <f aca="false">RANK(Y47,$Y$5:$Y$172,0)</f>
        <v>156</v>
      </c>
      <c r="AA47" s="15" t="str">
        <f aca="false">IF(X47="No","Hold – resolve flag",IF(Z47&lt;=Weights!$C$18,"Tier 1 – Flagship launch",IF(OR(Z47&lt;=Weights!$C$19,AF47="Yes"),"Tier 2 – Priority",IF(Z47&lt;=Weights!$C$20,"Tier 3 – Standard rotation","Tier 4 – Reserve"))))</f>
        <v>Hold – resolve flag</v>
      </c>
      <c r="AB47" s="18" t="s">
        <v>431</v>
      </c>
      <c r="AC47" s="27" t="s">
        <v>432</v>
      </c>
      <c r="AD47" s="18" t="s">
        <v>425</v>
      </c>
      <c r="AE47" s="15" t="s">
        <v>217</v>
      </c>
      <c r="AF47" s="23" t="s">
        <v>126</v>
      </c>
      <c r="AG47" s="29" t="n">
        <f aca="false">IF(OR(Z47&lt;=Weights!$C$19,AF47="Yes"),Y47,Y47-5000)</f>
        <v>-5942.40047</v>
      </c>
      <c r="AH47" s="15" t="str">
        <f aca="false">IF(OR(Z47&lt;=Weights!$C$19,AF47="Yes"),RANK(AG47,$AG$5:$AG$172,0),"")</f>
        <v/>
      </c>
    </row>
    <row r="48" customFormat="false" ht="46.25" hidden="false" customHeight="false" outlineLevel="0" collapsed="false">
      <c r="A48" s="18" t="s">
        <v>433</v>
      </c>
      <c r="B48" s="27" t="s">
        <v>434</v>
      </c>
      <c r="C48" s="18" t="s">
        <v>435</v>
      </c>
      <c r="D48" s="18" t="s">
        <v>303</v>
      </c>
      <c r="E48" s="18" t="s">
        <v>436</v>
      </c>
      <c r="F48" s="18" t="s">
        <v>437</v>
      </c>
      <c r="G48" s="15" t="n">
        <v>2026</v>
      </c>
      <c r="H48" s="15" t="s">
        <v>138</v>
      </c>
      <c r="I48" s="23" t="n">
        <v>4</v>
      </c>
      <c r="J48" s="23" t="n">
        <v>0</v>
      </c>
      <c r="K48" s="23" t="n">
        <v>2</v>
      </c>
      <c r="L48" s="23" t="n">
        <v>0</v>
      </c>
      <c r="M48" s="23" t="n">
        <v>0</v>
      </c>
      <c r="N48" s="23" t="n">
        <v>5</v>
      </c>
      <c r="O48" s="23" t="n">
        <v>4</v>
      </c>
      <c r="P48" s="23" t="n">
        <v>5</v>
      </c>
      <c r="Q48" s="23" t="n">
        <v>2.9</v>
      </c>
      <c r="R48" s="23" t="n">
        <v>1.5</v>
      </c>
      <c r="S48" s="23" t="n">
        <v>5</v>
      </c>
      <c r="T48" s="23" t="n">
        <v>0</v>
      </c>
      <c r="U48" s="18" t="s">
        <v>131</v>
      </c>
      <c r="V48" s="18" t="s">
        <v>162</v>
      </c>
      <c r="W48" s="28" t="n">
        <f aca="false">MIN(100,MAX(0,ROUND(SUMPRODUCT(I48:S48,$I$3:$S$3)/SUM($I$3:$S$3)/5*100+T48,1)))</f>
        <v>48.7</v>
      </c>
      <c r="X48" s="15" t="str">
        <f aca="false">IF(U48="Yes","No","Yes")</f>
        <v>No</v>
      </c>
      <c r="Y48" s="29" t="n">
        <f aca="false">IF(X48="Yes",W48,W48-1000)-ROW()/100000</f>
        <v>-951.30048</v>
      </c>
      <c r="Z48" s="15" t="n">
        <f aca="false">RANK(Y48,$Y$5:$Y$172,0)</f>
        <v>164</v>
      </c>
      <c r="AA48" s="15" t="str">
        <f aca="false">IF(X48="No","Hold – resolve flag",IF(Z48&lt;=Weights!$C$18,"Tier 1 – Flagship launch",IF(OR(Z48&lt;=Weights!$C$19,AF48="Yes"),"Tier 2 – Priority",IF(Z48&lt;=Weights!$C$20,"Tier 3 – Standard rotation","Tier 4 – Reserve"))))</f>
        <v>Hold – resolve flag</v>
      </c>
      <c r="AB48" s="18" t="s">
        <v>438</v>
      </c>
      <c r="AC48" s="27" t="s">
        <v>439</v>
      </c>
      <c r="AD48" s="18" t="s">
        <v>224</v>
      </c>
      <c r="AE48" s="15" t="s">
        <v>130</v>
      </c>
      <c r="AF48" s="23" t="s">
        <v>126</v>
      </c>
      <c r="AG48" s="29" t="n">
        <f aca="false">IF(OR(Z48&lt;=Weights!$C$19,AF48="Yes"),Y48,Y48-5000)</f>
        <v>-5951.30048</v>
      </c>
      <c r="AH48" s="15" t="str">
        <f aca="false">IF(OR(Z48&lt;=Weights!$C$19,AF48="Yes"),RANK(AG48,$AG$5:$AG$172,0),"")</f>
        <v/>
      </c>
    </row>
    <row r="49" customFormat="false" ht="35.05" hidden="false" customHeight="false" outlineLevel="0" collapsed="false">
      <c r="A49" s="18" t="s">
        <v>440</v>
      </c>
      <c r="B49" s="27" t="s">
        <v>441</v>
      </c>
      <c r="C49" s="18" t="s">
        <v>442</v>
      </c>
      <c r="D49" s="18" t="s">
        <v>303</v>
      </c>
      <c r="E49" s="18" t="s">
        <v>443</v>
      </c>
      <c r="F49" s="18" t="s">
        <v>444</v>
      </c>
      <c r="G49" s="15" t="n">
        <v>2026</v>
      </c>
      <c r="H49" s="15" t="s">
        <v>138</v>
      </c>
      <c r="I49" s="23" t="n">
        <v>5</v>
      </c>
      <c r="J49" s="23" t="n">
        <v>0</v>
      </c>
      <c r="K49" s="23" t="n">
        <v>2</v>
      </c>
      <c r="L49" s="23" t="n">
        <v>2</v>
      </c>
      <c r="M49" s="23" t="n">
        <v>0</v>
      </c>
      <c r="N49" s="23" t="n">
        <v>0</v>
      </c>
      <c r="O49" s="23" t="n">
        <v>1</v>
      </c>
      <c r="P49" s="23" t="n">
        <v>3</v>
      </c>
      <c r="Q49" s="23" t="n">
        <v>3.2</v>
      </c>
      <c r="R49" s="23" t="n">
        <v>2</v>
      </c>
      <c r="S49" s="23" t="n">
        <v>5</v>
      </c>
      <c r="T49" s="23" t="n">
        <v>0</v>
      </c>
      <c r="U49" s="18" t="s">
        <v>131</v>
      </c>
      <c r="V49" s="18" t="s">
        <v>162</v>
      </c>
      <c r="W49" s="28" t="n">
        <f aca="false">MIN(100,MAX(0,ROUND(SUMPRODUCT(I49:S49,$I$3:$S$3)/SUM($I$3:$S$3)/5*100+T49,1)))</f>
        <v>41.1</v>
      </c>
      <c r="X49" s="15" t="str">
        <f aca="false">IF(U49="Yes","No","Yes")</f>
        <v>No</v>
      </c>
      <c r="Y49" s="29" t="n">
        <f aca="false">IF(X49="Yes",W49,W49-1000)-ROW()/100000</f>
        <v>-958.90049</v>
      </c>
      <c r="Z49" s="15" t="n">
        <f aca="false">RANK(Y49,$Y$5:$Y$172,0)</f>
        <v>168</v>
      </c>
      <c r="AA49" s="15" t="str">
        <f aca="false">IF(X49="No","Hold – resolve flag",IF(Z49&lt;=Weights!$C$18,"Tier 1 – Flagship launch",IF(OR(Z49&lt;=Weights!$C$19,AF49="Yes"),"Tier 2 – Priority",IF(Z49&lt;=Weights!$C$20,"Tier 3 – Standard rotation","Tier 4 – Reserve"))))</f>
        <v>Hold – resolve flag</v>
      </c>
      <c r="AB49" s="18" t="s">
        <v>445</v>
      </c>
      <c r="AC49" s="27" t="s">
        <v>446</v>
      </c>
      <c r="AD49" s="18" t="s">
        <v>193</v>
      </c>
      <c r="AE49" s="15" t="s">
        <v>130</v>
      </c>
      <c r="AF49" s="23" t="s">
        <v>126</v>
      </c>
      <c r="AG49" s="29" t="n">
        <f aca="false">IF(OR(Z49&lt;=Weights!$C$19,AF49="Yes"),Y49,Y49-5000)</f>
        <v>-5958.90049</v>
      </c>
      <c r="AH49" s="15" t="str">
        <f aca="false">IF(OR(Z49&lt;=Weights!$C$19,AF49="Yes"),RANK(AG49,$AG$5:$AG$172,0),"")</f>
        <v/>
      </c>
    </row>
    <row r="50" customFormat="false" ht="46.25" hidden="false" customHeight="false" outlineLevel="0" collapsed="false">
      <c r="A50" s="18" t="s">
        <v>447</v>
      </c>
      <c r="B50" s="27" t="s">
        <v>448</v>
      </c>
      <c r="C50" s="18" t="s">
        <v>449</v>
      </c>
      <c r="D50" s="18" t="s">
        <v>303</v>
      </c>
      <c r="E50" s="18" t="s">
        <v>450</v>
      </c>
      <c r="F50" s="18" t="s">
        <v>125</v>
      </c>
      <c r="G50" s="15" t="n">
        <v>2026</v>
      </c>
      <c r="H50" s="15" t="s">
        <v>138</v>
      </c>
      <c r="I50" s="23" t="n">
        <v>4</v>
      </c>
      <c r="J50" s="23" t="n">
        <v>0</v>
      </c>
      <c r="K50" s="23" t="n">
        <v>2</v>
      </c>
      <c r="L50" s="23" t="n">
        <v>0</v>
      </c>
      <c r="M50" s="23" t="n">
        <v>0</v>
      </c>
      <c r="N50" s="23" t="n">
        <v>0</v>
      </c>
      <c r="O50" s="23" t="n">
        <v>4</v>
      </c>
      <c r="P50" s="23" t="n">
        <v>5</v>
      </c>
      <c r="Q50" s="23" t="n">
        <v>4.2</v>
      </c>
      <c r="R50" s="23" t="n">
        <v>3</v>
      </c>
      <c r="S50" s="23" t="n">
        <v>5</v>
      </c>
      <c r="T50" s="23" t="n">
        <v>0</v>
      </c>
      <c r="U50" s="18" t="s">
        <v>131</v>
      </c>
      <c r="V50" s="18" t="s">
        <v>162</v>
      </c>
      <c r="W50" s="28" t="n">
        <f aca="false">MIN(100,MAX(0,ROUND(SUMPRODUCT(I50:S50,$I$3:$S$3)/SUM($I$3:$S$3)/5*100+T50,1)))</f>
        <v>49.3</v>
      </c>
      <c r="X50" s="15" t="str">
        <f aca="false">IF(U50="Yes","No","Yes")</f>
        <v>No</v>
      </c>
      <c r="Y50" s="29" t="n">
        <f aca="false">IF(X50="Yes",W50,W50-1000)-ROW()/100000</f>
        <v>-950.7005</v>
      </c>
      <c r="Z50" s="15" t="n">
        <f aca="false">RANK(Y50,$Y$5:$Y$172,0)</f>
        <v>163</v>
      </c>
      <c r="AA50" s="15" t="str">
        <f aca="false">IF(X50="No","Hold – resolve flag",IF(Z50&lt;=Weights!$C$18,"Tier 1 – Flagship launch",IF(OR(Z50&lt;=Weights!$C$19,AF50="Yes"),"Tier 2 – Priority",IF(Z50&lt;=Weights!$C$20,"Tier 3 – Standard rotation","Tier 4 – Reserve"))))</f>
        <v>Hold – resolve flag</v>
      </c>
      <c r="AB50" s="18" t="s">
        <v>451</v>
      </c>
      <c r="AC50" s="27" t="s">
        <v>452</v>
      </c>
      <c r="AD50" s="18" t="s">
        <v>129</v>
      </c>
      <c r="AE50" s="15" t="s">
        <v>130</v>
      </c>
      <c r="AF50" s="23" t="s">
        <v>126</v>
      </c>
      <c r="AG50" s="29" t="n">
        <f aca="false">IF(OR(Z50&lt;=Weights!$C$19,AF50="Yes"),Y50,Y50-5000)</f>
        <v>-5950.7005</v>
      </c>
      <c r="AH50" s="15" t="str">
        <f aca="false">IF(OR(Z50&lt;=Weights!$C$19,AF50="Yes"),RANK(AG50,$AG$5:$AG$172,0),"")</f>
        <v/>
      </c>
    </row>
    <row r="51" customFormat="false" ht="35.05" hidden="false" customHeight="false" outlineLevel="0" collapsed="false">
      <c r="A51" s="18" t="s">
        <v>453</v>
      </c>
      <c r="B51" s="27" t="s">
        <v>454</v>
      </c>
      <c r="C51" s="18" t="s">
        <v>455</v>
      </c>
      <c r="D51" s="18" t="s">
        <v>456</v>
      </c>
      <c r="E51" s="18" t="s">
        <v>457</v>
      </c>
      <c r="F51" s="18" t="s">
        <v>213</v>
      </c>
      <c r="G51" s="15" t="n">
        <v>2026</v>
      </c>
      <c r="H51" s="15" t="s">
        <v>138</v>
      </c>
      <c r="I51" s="23" t="n">
        <v>5</v>
      </c>
      <c r="J51" s="23" t="n">
        <v>5</v>
      </c>
      <c r="K51" s="23" t="n">
        <v>2</v>
      </c>
      <c r="L51" s="23" t="n">
        <v>0</v>
      </c>
      <c r="M51" s="23" t="n">
        <v>3</v>
      </c>
      <c r="N51" s="23" t="n">
        <v>0</v>
      </c>
      <c r="O51" s="23" t="n">
        <v>5</v>
      </c>
      <c r="P51" s="23" t="n">
        <v>5</v>
      </c>
      <c r="Q51" s="23" t="n">
        <v>3.2</v>
      </c>
      <c r="R51" s="23" t="n">
        <v>4.2</v>
      </c>
      <c r="S51" s="23" t="n">
        <v>5</v>
      </c>
      <c r="T51" s="23" t="n">
        <v>0</v>
      </c>
      <c r="U51" s="18" t="s">
        <v>126</v>
      </c>
      <c r="V51" s="18"/>
      <c r="W51" s="28" t="n">
        <f aca="false">MIN(100,MAX(0,ROUND(SUMPRODUCT(I51:S51,$I$3:$S$3)/SUM($I$3:$S$3)/5*100+T51,1)))</f>
        <v>71.1</v>
      </c>
      <c r="X51" s="15" t="str">
        <f aca="false">IF(U51="Yes","No","Yes")</f>
        <v>Yes</v>
      </c>
      <c r="Y51" s="29" t="n">
        <f aca="false">IF(X51="Yes",W51,W51-1000)-ROW()/100000</f>
        <v>71.09949</v>
      </c>
      <c r="Z51" s="15" t="n">
        <f aca="false">RANK(Y51,$Y$5:$Y$172,0)</f>
        <v>15</v>
      </c>
      <c r="AA51" s="15" t="str">
        <f aca="false">IF(X51="No","Hold – resolve flag",IF(Z51&lt;=Weights!$C$18,"Tier 1 – Flagship launch",IF(OR(Z51&lt;=Weights!$C$19,AF51="Yes"),"Tier 2 – Priority",IF(Z51&lt;=Weights!$C$20,"Tier 3 – Standard rotation","Tier 4 – Reserve"))))</f>
        <v>Tier 2 – Priority</v>
      </c>
      <c r="AB51" s="18" t="s">
        <v>458</v>
      </c>
      <c r="AC51" s="27" t="s">
        <v>459</v>
      </c>
      <c r="AD51" s="18" t="s">
        <v>460</v>
      </c>
      <c r="AE51" s="15" t="s">
        <v>130</v>
      </c>
      <c r="AF51" s="23" t="s">
        <v>126</v>
      </c>
      <c r="AG51" s="29" t="n">
        <f aca="false">IF(OR(Z51&lt;=Weights!$C$19,AF51="Yes"),Y51,Y51-5000)</f>
        <v>71.09949</v>
      </c>
      <c r="AH51" s="15" t="n">
        <f aca="false">IF(OR(Z51&lt;=Weights!$C$19,AF51="Yes"),RANK(AG51,$AG$5:$AG$172,0),"")</f>
        <v>15</v>
      </c>
    </row>
    <row r="52" customFormat="false" ht="35.05" hidden="false" customHeight="false" outlineLevel="0" collapsed="false">
      <c r="A52" s="18" t="s">
        <v>461</v>
      </c>
      <c r="B52" s="27" t="s">
        <v>462</v>
      </c>
      <c r="C52" s="18" t="s">
        <v>463</v>
      </c>
      <c r="D52" s="18" t="s">
        <v>144</v>
      </c>
      <c r="E52" s="18" t="s">
        <v>464</v>
      </c>
      <c r="F52" s="18" t="s">
        <v>153</v>
      </c>
      <c r="G52" s="15" t="n">
        <v>2021</v>
      </c>
      <c r="H52" s="15" t="n">
        <v>0</v>
      </c>
      <c r="I52" s="23" t="n">
        <v>4</v>
      </c>
      <c r="J52" s="23" t="n">
        <v>3</v>
      </c>
      <c r="K52" s="23" t="n">
        <v>2</v>
      </c>
      <c r="L52" s="23" t="n">
        <v>3</v>
      </c>
      <c r="M52" s="23" t="n">
        <v>0</v>
      </c>
      <c r="N52" s="23" t="n">
        <v>3</v>
      </c>
      <c r="O52" s="23" t="n">
        <v>2</v>
      </c>
      <c r="P52" s="23" t="n">
        <v>2.2</v>
      </c>
      <c r="Q52" s="23" t="n">
        <v>3.4</v>
      </c>
      <c r="R52" s="23" t="n">
        <v>2.5</v>
      </c>
      <c r="S52" s="23" t="n">
        <v>1</v>
      </c>
      <c r="T52" s="23" t="n">
        <v>0</v>
      </c>
      <c r="U52" s="18" t="s">
        <v>126</v>
      </c>
      <c r="V52" s="18"/>
      <c r="W52" s="28" t="n">
        <f aca="false">MIN(100,MAX(0,ROUND(SUMPRODUCT(I52:S52,$I$3:$S$3)/SUM($I$3:$S$3)/5*100+T52,1)))</f>
        <v>48.5</v>
      </c>
      <c r="X52" s="15" t="str">
        <f aca="false">IF(U52="Yes","No","Yes")</f>
        <v>Yes</v>
      </c>
      <c r="Y52" s="29" t="n">
        <f aca="false">IF(X52="Yes",W52,W52-1000)-ROW()/100000</f>
        <v>48.49948</v>
      </c>
      <c r="Z52" s="15" t="n">
        <f aca="false">RANK(Y52,$Y$5:$Y$172,0)</f>
        <v>149</v>
      </c>
      <c r="AA52" s="15" t="str">
        <f aca="false">IF(X52="No","Hold – resolve flag",IF(Z52&lt;=Weights!$C$18,"Tier 1 – Flagship launch",IF(OR(Z52&lt;=Weights!$C$19,AF52="Yes"),"Tier 2 – Priority",IF(Z52&lt;=Weights!$C$20,"Tier 3 – Standard rotation","Tier 4 – Reserve"))))</f>
        <v>Tier 4 – Reserve</v>
      </c>
      <c r="AB52" s="18" t="s">
        <v>465</v>
      </c>
      <c r="AC52" s="27" t="s">
        <v>466</v>
      </c>
      <c r="AD52" s="18" t="s">
        <v>467</v>
      </c>
      <c r="AE52" s="15" t="s">
        <v>130</v>
      </c>
      <c r="AF52" s="23" t="s">
        <v>126</v>
      </c>
      <c r="AG52" s="29" t="n">
        <f aca="false">IF(OR(Z52&lt;=Weights!$C$19,AF52="Yes"),Y52,Y52-5000)</f>
        <v>-4951.50052</v>
      </c>
      <c r="AH52" s="15" t="str">
        <f aca="false">IF(OR(Z52&lt;=Weights!$C$19,AF52="Yes"),RANK(AG52,$AG$5:$AG$172,0),"")</f>
        <v/>
      </c>
    </row>
    <row r="53" customFormat="false" ht="35.05" hidden="false" customHeight="false" outlineLevel="0" collapsed="false">
      <c r="A53" s="18" t="s">
        <v>468</v>
      </c>
      <c r="B53" s="27" t="s">
        <v>469</v>
      </c>
      <c r="C53" s="18" t="s">
        <v>470</v>
      </c>
      <c r="D53" s="18" t="s">
        <v>248</v>
      </c>
      <c r="E53" s="18" t="s">
        <v>471</v>
      </c>
      <c r="F53" s="18" t="s">
        <v>153</v>
      </c>
      <c r="G53" s="15" t="n">
        <v>2021</v>
      </c>
      <c r="H53" s="15" t="n">
        <v>0</v>
      </c>
      <c r="I53" s="23" t="n">
        <v>4</v>
      </c>
      <c r="J53" s="23" t="n">
        <v>5</v>
      </c>
      <c r="K53" s="23" t="n">
        <v>2</v>
      </c>
      <c r="L53" s="23" t="n">
        <v>4</v>
      </c>
      <c r="M53" s="23" t="n">
        <v>0</v>
      </c>
      <c r="N53" s="23" t="n">
        <v>0</v>
      </c>
      <c r="O53" s="23" t="n">
        <v>2</v>
      </c>
      <c r="P53" s="23" t="n">
        <v>2.2</v>
      </c>
      <c r="Q53" s="23" t="n">
        <v>4.3</v>
      </c>
      <c r="R53" s="23" t="n">
        <v>2.5</v>
      </c>
      <c r="S53" s="23" t="n">
        <v>2</v>
      </c>
      <c r="T53" s="23" t="n">
        <v>0</v>
      </c>
      <c r="U53" s="18" t="s">
        <v>126</v>
      </c>
      <c r="V53" s="18"/>
      <c r="W53" s="28" t="n">
        <f aca="false">MIN(100,MAX(0,ROUND(SUMPRODUCT(I53:S53,$I$3:$S$3)/SUM($I$3:$S$3)/5*100+T53,1)))</f>
        <v>54.7</v>
      </c>
      <c r="X53" s="15" t="str">
        <f aca="false">IF(U53="Yes","No","Yes")</f>
        <v>Yes</v>
      </c>
      <c r="Y53" s="29" t="n">
        <f aca="false">IF(X53="Yes",W53,W53-1000)-ROW()/100000</f>
        <v>54.69947</v>
      </c>
      <c r="Z53" s="15" t="n">
        <f aca="false">RANK(Y53,$Y$5:$Y$172,0)</f>
        <v>127</v>
      </c>
      <c r="AA53" s="15" t="str">
        <f aca="false">IF(X53="No","Hold – resolve flag",IF(Z53&lt;=Weights!$C$18,"Tier 1 – Flagship launch",IF(OR(Z53&lt;=Weights!$C$19,AF53="Yes"),"Tier 2 – Priority",IF(Z53&lt;=Weights!$C$20,"Tier 3 – Standard rotation","Tier 4 – Reserve"))))</f>
        <v>Tier 4 – Reserve</v>
      </c>
      <c r="AB53" s="18" t="s">
        <v>472</v>
      </c>
      <c r="AC53" s="27" t="s">
        <v>473</v>
      </c>
      <c r="AD53" s="18" t="s">
        <v>474</v>
      </c>
      <c r="AE53" s="15" t="s">
        <v>130</v>
      </c>
      <c r="AF53" s="23" t="s">
        <v>126</v>
      </c>
      <c r="AG53" s="29" t="n">
        <f aca="false">IF(OR(Z53&lt;=Weights!$C$19,AF53="Yes"),Y53,Y53-5000)</f>
        <v>-4945.30053</v>
      </c>
      <c r="AH53" s="15" t="str">
        <f aca="false">IF(OR(Z53&lt;=Weights!$C$19,AF53="Yes"),RANK(AG53,$AG$5:$AG$172,0),"")</f>
        <v/>
      </c>
    </row>
    <row r="54" customFormat="false" ht="35.05" hidden="false" customHeight="false" outlineLevel="0" collapsed="false">
      <c r="A54" s="18" t="s">
        <v>475</v>
      </c>
      <c r="B54" s="27" t="s">
        <v>476</v>
      </c>
      <c r="C54" s="18" t="s">
        <v>477</v>
      </c>
      <c r="D54" s="18" t="s">
        <v>478</v>
      </c>
      <c r="E54" s="18" t="s">
        <v>479</v>
      </c>
      <c r="F54" s="18" t="s">
        <v>153</v>
      </c>
      <c r="G54" s="15" t="n">
        <v>2021</v>
      </c>
      <c r="H54" s="15" t="n">
        <v>0</v>
      </c>
      <c r="I54" s="23" t="n">
        <v>5</v>
      </c>
      <c r="J54" s="23" t="n">
        <v>5</v>
      </c>
      <c r="K54" s="23" t="n">
        <v>2</v>
      </c>
      <c r="L54" s="23" t="n">
        <v>4</v>
      </c>
      <c r="M54" s="23" t="n">
        <v>3</v>
      </c>
      <c r="N54" s="23" t="n">
        <v>5</v>
      </c>
      <c r="O54" s="23" t="n">
        <v>3</v>
      </c>
      <c r="P54" s="23" t="n">
        <v>2.2</v>
      </c>
      <c r="Q54" s="23" t="n">
        <v>4</v>
      </c>
      <c r="R54" s="23" t="n">
        <v>2.5</v>
      </c>
      <c r="S54" s="23" t="n">
        <v>2</v>
      </c>
      <c r="T54" s="23" t="n">
        <v>0</v>
      </c>
      <c r="U54" s="18" t="s">
        <v>126</v>
      </c>
      <c r="V54" s="18"/>
      <c r="W54" s="28" t="n">
        <f aca="false">MIN(100,MAX(0,ROUND(SUMPRODUCT(I54:S54,$I$3:$S$3)/SUM($I$3:$S$3)/5*100+T54,1)))</f>
        <v>68</v>
      </c>
      <c r="X54" s="15" t="str">
        <f aca="false">IF(U54="Yes","No","Yes")</f>
        <v>Yes</v>
      </c>
      <c r="Y54" s="29" t="n">
        <f aca="false">IF(X54="Yes",W54,W54-1000)-ROW()/100000</f>
        <v>67.99946</v>
      </c>
      <c r="Z54" s="15" t="n">
        <f aca="false">RANK(Y54,$Y$5:$Y$172,0)</f>
        <v>28</v>
      </c>
      <c r="AA54" s="15" t="str">
        <f aca="false">IF(X54="No","Hold – resolve flag",IF(Z54&lt;=Weights!$C$18,"Tier 1 – Flagship launch",IF(OR(Z54&lt;=Weights!$C$19,AF54="Yes"),"Tier 2 – Priority",IF(Z54&lt;=Weights!$C$20,"Tier 3 – Standard rotation","Tier 4 – Reserve"))))</f>
        <v>Tier 2 – Priority</v>
      </c>
      <c r="AB54" s="18" t="s">
        <v>480</v>
      </c>
      <c r="AC54" s="27" t="s">
        <v>481</v>
      </c>
      <c r="AD54" s="18" t="s">
        <v>474</v>
      </c>
      <c r="AE54" s="15" t="s">
        <v>130</v>
      </c>
      <c r="AF54" s="23" t="s">
        <v>126</v>
      </c>
      <c r="AG54" s="29" t="n">
        <f aca="false">IF(OR(Z54&lt;=Weights!$C$19,AF54="Yes"),Y54,Y54-5000)</f>
        <v>67.99946</v>
      </c>
      <c r="AH54" s="15" t="n">
        <f aca="false">IF(OR(Z54&lt;=Weights!$C$19,AF54="Yes"),RANK(AG54,$AG$5:$AG$172,0),"")</f>
        <v>28</v>
      </c>
    </row>
    <row r="55" customFormat="false" ht="35.05" hidden="false" customHeight="false" outlineLevel="0" collapsed="false">
      <c r="A55" s="18" t="s">
        <v>482</v>
      </c>
      <c r="B55" s="27" t="s">
        <v>483</v>
      </c>
      <c r="C55" s="18" t="s">
        <v>484</v>
      </c>
      <c r="D55" s="18" t="s">
        <v>144</v>
      </c>
      <c r="E55" s="18" t="s">
        <v>485</v>
      </c>
      <c r="F55" s="18" t="s">
        <v>153</v>
      </c>
      <c r="G55" s="15" t="n">
        <v>2021</v>
      </c>
      <c r="H55" s="15" t="n">
        <v>4</v>
      </c>
      <c r="I55" s="23" t="n">
        <v>2</v>
      </c>
      <c r="J55" s="23" t="n">
        <v>3</v>
      </c>
      <c r="K55" s="23" t="n">
        <v>4</v>
      </c>
      <c r="L55" s="23" t="n">
        <v>4</v>
      </c>
      <c r="M55" s="23" t="n">
        <v>3</v>
      </c>
      <c r="N55" s="23" t="n">
        <v>5</v>
      </c>
      <c r="O55" s="23" t="n">
        <v>3</v>
      </c>
      <c r="P55" s="23" t="n">
        <v>2.2</v>
      </c>
      <c r="Q55" s="23" t="n">
        <v>4</v>
      </c>
      <c r="R55" s="23" t="n">
        <v>3</v>
      </c>
      <c r="S55" s="23" t="n">
        <v>1</v>
      </c>
      <c r="T55" s="23" t="n">
        <v>0</v>
      </c>
      <c r="U55" s="18" t="s">
        <v>126</v>
      </c>
      <c r="V55" s="18"/>
      <c r="W55" s="28" t="n">
        <f aca="false">MIN(100,MAX(0,ROUND(SUMPRODUCT(I55:S55,$I$3:$S$3)/SUM($I$3:$S$3)/5*100+T55,1)))</f>
        <v>61.5</v>
      </c>
      <c r="X55" s="15" t="str">
        <f aca="false">IF(U55="Yes","No","Yes")</f>
        <v>Yes</v>
      </c>
      <c r="Y55" s="29" t="n">
        <f aca="false">IF(X55="Yes",W55,W55-1000)-ROW()/100000</f>
        <v>61.49945</v>
      </c>
      <c r="Z55" s="15" t="n">
        <f aca="false">RANK(Y55,$Y$5:$Y$172,0)</f>
        <v>70</v>
      </c>
      <c r="AA55" s="15" t="str">
        <f aca="false">IF(X55="No","Hold – resolve flag",IF(Z55&lt;=Weights!$C$18,"Tier 1 – Flagship launch",IF(OR(Z55&lt;=Weights!$C$19,AF55="Yes"),"Tier 2 – Priority",IF(Z55&lt;=Weights!$C$20,"Tier 3 – Standard rotation","Tier 4 – Reserve"))))</f>
        <v>Tier 3 – Standard rotation</v>
      </c>
      <c r="AB55" s="18" t="s">
        <v>486</v>
      </c>
      <c r="AC55" s="27" t="s">
        <v>487</v>
      </c>
      <c r="AD55" s="18" t="s">
        <v>129</v>
      </c>
      <c r="AE55" s="15" t="s">
        <v>130</v>
      </c>
      <c r="AF55" s="23" t="s">
        <v>126</v>
      </c>
      <c r="AG55" s="29" t="n">
        <f aca="false">IF(OR(Z55&lt;=Weights!$C$19,AF55="Yes"),Y55,Y55-5000)</f>
        <v>-4938.50055</v>
      </c>
      <c r="AH55" s="15" t="str">
        <f aca="false">IF(OR(Z55&lt;=Weights!$C$19,AF55="Yes"),RANK(AG55,$AG$5:$AG$172,0),"")</f>
        <v/>
      </c>
    </row>
    <row r="56" customFormat="false" ht="35.05" hidden="false" customHeight="false" outlineLevel="0" collapsed="false">
      <c r="A56" s="18" t="s">
        <v>488</v>
      </c>
      <c r="B56" s="27" t="s">
        <v>489</v>
      </c>
      <c r="C56" s="18" t="s">
        <v>490</v>
      </c>
      <c r="D56" s="18" t="s">
        <v>197</v>
      </c>
      <c r="E56" s="18" t="s">
        <v>491</v>
      </c>
      <c r="F56" s="18" t="s">
        <v>153</v>
      </c>
      <c r="G56" s="15" t="n">
        <v>2021</v>
      </c>
      <c r="H56" s="15" t="n">
        <v>1</v>
      </c>
      <c r="I56" s="23" t="n">
        <v>4</v>
      </c>
      <c r="J56" s="23" t="n">
        <v>4</v>
      </c>
      <c r="K56" s="23" t="n">
        <v>5</v>
      </c>
      <c r="L56" s="23" t="n">
        <v>5</v>
      </c>
      <c r="M56" s="23" t="n">
        <v>5</v>
      </c>
      <c r="N56" s="23" t="n">
        <v>0</v>
      </c>
      <c r="O56" s="23" t="n">
        <v>3</v>
      </c>
      <c r="P56" s="23" t="n">
        <v>2.2</v>
      </c>
      <c r="Q56" s="23" t="n">
        <v>2</v>
      </c>
      <c r="R56" s="23" t="n">
        <v>3</v>
      </c>
      <c r="S56" s="23" t="n">
        <v>2</v>
      </c>
      <c r="T56" s="23" t="n">
        <v>0</v>
      </c>
      <c r="U56" s="18" t="s">
        <v>126</v>
      </c>
      <c r="V56" s="18"/>
      <c r="W56" s="28" t="n">
        <f aca="false">MIN(100,MAX(0,ROUND(SUMPRODUCT(I56:S56,$I$3:$S$3)/SUM($I$3:$S$3)/5*100+T56,1)))</f>
        <v>65.9</v>
      </c>
      <c r="X56" s="15" t="str">
        <f aca="false">IF(U56="Yes","No","Yes")</f>
        <v>Yes</v>
      </c>
      <c r="Y56" s="29" t="n">
        <f aca="false">IF(X56="Yes",W56,W56-1000)-ROW()/100000</f>
        <v>65.89944</v>
      </c>
      <c r="Z56" s="15" t="n">
        <f aca="false">RANK(Y56,$Y$5:$Y$172,0)</f>
        <v>38</v>
      </c>
      <c r="AA56" s="15" t="str">
        <f aca="false">IF(X56="No","Hold – resolve flag",IF(Z56&lt;=Weights!$C$18,"Tier 1 – Flagship launch",IF(OR(Z56&lt;=Weights!$C$19,AF56="Yes"),"Tier 2 – Priority",IF(Z56&lt;=Weights!$C$20,"Tier 3 – Standard rotation","Tier 4 – Reserve"))))</f>
        <v>Tier 3 – Standard rotation</v>
      </c>
      <c r="AB56" s="18" t="s">
        <v>492</v>
      </c>
      <c r="AC56" s="27" t="s">
        <v>493</v>
      </c>
      <c r="AD56" s="18" t="s">
        <v>334</v>
      </c>
      <c r="AE56" s="15" t="s">
        <v>130</v>
      </c>
      <c r="AF56" s="23" t="s">
        <v>126</v>
      </c>
      <c r="AG56" s="29" t="n">
        <f aca="false">IF(OR(Z56&lt;=Weights!$C$19,AF56="Yes"),Y56,Y56-5000)</f>
        <v>-4934.10056</v>
      </c>
      <c r="AH56" s="15" t="str">
        <f aca="false">IF(OR(Z56&lt;=Weights!$C$19,AF56="Yes"),RANK(AG56,$AG$5:$AG$172,0),"")</f>
        <v/>
      </c>
    </row>
    <row r="57" customFormat="false" ht="35.05" hidden="false" customHeight="false" outlineLevel="0" collapsed="false">
      <c r="A57" s="18" t="s">
        <v>494</v>
      </c>
      <c r="B57" s="27" t="s">
        <v>495</v>
      </c>
      <c r="C57" s="18" t="s">
        <v>496</v>
      </c>
      <c r="D57" s="18" t="s">
        <v>497</v>
      </c>
      <c r="E57" s="18" t="s">
        <v>498</v>
      </c>
      <c r="F57" s="18" t="s">
        <v>153</v>
      </c>
      <c r="G57" s="15" t="n">
        <v>2021</v>
      </c>
      <c r="H57" s="15" t="n">
        <v>1</v>
      </c>
      <c r="I57" s="23" t="n">
        <v>2</v>
      </c>
      <c r="J57" s="23" t="n">
        <v>4</v>
      </c>
      <c r="K57" s="23" t="n">
        <v>5</v>
      </c>
      <c r="L57" s="23" t="n">
        <v>5</v>
      </c>
      <c r="M57" s="23" t="n">
        <v>4</v>
      </c>
      <c r="N57" s="23" t="n">
        <v>0</v>
      </c>
      <c r="O57" s="23" t="n">
        <v>2</v>
      </c>
      <c r="P57" s="23" t="n">
        <v>2.2</v>
      </c>
      <c r="Q57" s="23" t="n">
        <v>3.4</v>
      </c>
      <c r="R57" s="23" t="n">
        <v>3</v>
      </c>
      <c r="S57" s="23" t="n">
        <v>2</v>
      </c>
      <c r="T57" s="23" t="n">
        <v>0</v>
      </c>
      <c r="U57" s="18" t="s">
        <v>126</v>
      </c>
      <c r="V57" s="18"/>
      <c r="W57" s="28" t="n">
        <f aca="false">MIN(100,MAX(0,ROUND(SUMPRODUCT(I57:S57,$I$3:$S$3)/SUM($I$3:$S$3)/5*100+T57,1)))</f>
        <v>61.6</v>
      </c>
      <c r="X57" s="15" t="str">
        <f aca="false">IF(U57="Yes","No","Yes")</f>
        <v>Yes</v>
      </c>
      <c r="Y57" s="29" t="n">
        <f aca="false">IF(X57="Yes",W57,W57-1000)-ROW()/100000</f>
        <v>61.59943</v>
      </c>
      <c r="Z57" s="15" t="n">
        <f aca="false">RANK(Y57,$Y$5:$Y$172,0)</f>
        <v>69</v>
      </c>
      <c r="AA57" s="15" t="str">
        <f aca="false">IF(X57="No","Hold – resolve flag",IF(Z57&lt;=Weights!$C$18,"Tier 1 – Flagship launch",IF(OR(Z57&lt;=Weights!$C$19,AF57="Yes"),"Tier 2 – Priority",IF(Z57&lt;=Weights!$C$20,"Tier 3 – Standard rotation","Tier 4 – Reserve"))))</f>
        <v>Tier 3 – Standard rotation</v>
      </c>
      <c r="AB57" s="18" t="s">
        <v>492</v>
      </c>
      <c r="AC57" s="27" t="s">
        <v>499</v>
      </c>
      <c r="AD57" s="18" t="s">
        <v>500</v>
      </c>
      <c r="AE57" s="15" t="s">
        <v>130</v>
      </c>
      <c r="AF57" s="23" t="s">
        <v>126</v>
      </c>
      <c r="AG57" s="29" t="n">
        <f aca="false">IF(OR(Z57&lt;=Weights!$C$19,AF57="Yes"),Y57,Y57-5000)</f>
        <v>-4938.40057</v>
      </c>
      <c r="AH57" s="15" t="str">
        <f aca="false">IF(OR(Z57&lt;=Weights!$C$19,AF57="Yes"),RANK(AG57,$AG$5:$AG$172,0),"")</f>
        <v/>
      </c>
    </row>
    <row r="58" customFormat="false" ht="35.05" hidden="false" customHeight="false" outlineLevel="0" collapsed="false">
      <c r="A58" s="18" t="s">
        <v>501</v>
      </c>
      <c r="B58" s="27" t="s">
        <v>502</v>
      </c>
      <c r="C58" s="18" t="s">
        <v>503</v>
      </c>
      <c r="D58" s="18" t="s">
        <v>504</v>
      </c>
      <c r="E58" s="18" t="s">
        <v>505</v>
      </c>
      <c r="F58" s="18" t="s">
        <v>153</v>
      </c>
      <c r="G58" s="15" t="n">
        <v>2021</v>
      </c>
      <c r="H58" s="15" t="n">
        <v>1</v>
      </c>
      <c r="I58" s="23" t="n">
        <v>2</v>
      </c>
      <c r="J58" s="23" t="n">
        <v>4</v>
      </c>
      <c r="K58" s="23" t="n">
        <v>5</v>
      </c>
      <c r="L58" s="23" t="n">
        <v>5</v>
      </c>
      <c r="M58" s="23" t="n">
        <v>4</v>
      </c>
      <c r="N58" s="23" t="n">
        <v>0</v>
      </c>
      <c r="O58" s="23" t="n">
        <v>2</v>
      </c>
      <c r="P58" s="23" t="n">
        <v>2.2</v>
      </c>
      <c r="Q58" s="23" t="n">
        <v>2.4</v>
      </c>
      <c r="R58" s="23" t="n">
        <v>3</v>
      </c>
      <c r="S58" s="23" t="n">
        <v>2</v>
      </c>
      <c r="T58" s="23" t="n">
        <v>0</v>
      </c>
      <c r="U58" s="18" t="s">
        <v>126</v>
      </c>
      <c r="V58" s="18"/>
      <c r="W58" s="28" t="n">
        <f aca="false">MIN(100,MAX(0,ROUND(SUMPRODUCT(I58:S58,$I$3:$S$3)/SUM($I$3:$S$3)/5*100+T58,1)))</f>
        <v>60</v>
      </c>
      <c r="X58" s="15" t="str">
        <f aca="false">IF(U58="Yes","No","Yes")</f>
        <v>Yes</v>
      </c>
      <c r="Y58" s="29" t="n">
        <f aca="false">IF(X58="Yes",W58,W58-1000)-ROW()/100000</f>
        <v>59.99942</v>
      </c>
      <c r="Z58" s="15" t="n">
        <f aca="false">RANK(Y58,$Y$5:$Y$172,0)</f>
        <v>80</v>
      </c>
      <c r="AA58" s="15" t="str">
        <f aca="false">IF(X58="No","Hold – resolve flag",IF(Z58&lt;=Weights!$C$18,"Tier 1 – Flagship launch",IF(OR(Z58&lt;=Weights!$C$19,AF58="Yes"),"Tier 2 – Priority",IF(Z58&lt;=Weights!$C$20,"Tier 3 – Standard rotation","Tier 4 – Reserve"))))</f>
        <v>Tier 3 – Standard rotation</v>
      </c>
      <c r="AB58" s="18" t="s">
        <v>492</v>
      </c>
      <c r="AC58" s="27" t="s">
        <v>506</v>
      </c>
      <c r="AD58" s="18" t="s">
        <v>334</v>
      </c>
      <c r="AE58" s="15" t="s">
        <v>130</v>
      </c>
      <c r="AF58" s="23" t="s">
        <v>126</v>
      </c>
      <c r="AG58" s="29" t="n">
        <f aca="false">IF(OR(Z58&lt;=Weights!$C$19,AF58="Yes"),Y58,Y58-5000)</f>
        <v>-4940.00058</v>
      </c>
      <c r="AH58" s="15" t="str">
        <f aca="false">IF(OR(Z58&lt;=Weights!$C$19,AF58="Yes"),RANK(AG58,$AG$5:$AG$172,0),"")</f>
        <v/>
      </c>
    </row>
    <row r="59" customFormat="false" ht="35.05" hidden="false" customHeight="false" outlineLevel="0" collapsed="false">
      <c r="A59" s="18" t="s">
        <v>507</v>
      </c>
      <c r="B59" s="27" t="s">
        <v>508</v>
      </c>
      <c r="C59" s="18" t="s">
        <v>509</v>
      </c>
      <c r="D59" s="18" t="s">
        <v>510</v>
      </c>
      <c r="E59" s="18" t="s">
        <v>511</v>
      </c>
      <c r="F59" s="18" t="s">
        <v>153</v>
      </c>
      <c r="G59" s="15" t="n">
        <v>2021</v>
      </c>
      <c r="H59" s="15" t="n">
        <v>1</v>
      </c>
      <c r="I59" s="23" t="n">
        <v>2</v>
      </c>
      <c r="J59" s="23" t="n">
        <v>4</v>
      </c>
      <c r="K59" s="23" t="n">
        <v>5</v>
      </c>
      <c r="L59" s="23" t="n">
        <v>5</v>
      </c>
      <c r="M59" s="23" t="n">
        <v>5</v>
      </c>
      <c r="N59" s="23" t="n">
        <v>0</v>
      </c>
      <c r="O59" s="23" t="n">
        <v>3</v>
      </c>
      <c r="P59" s="23" t="n">
        <v>2.2</v>
      </c>
      <c r="Q59" s="23" t="n">
        <v>4.3</v>
      </c>
      <c r="R59" s="23" t="n">
        <v>3</v>
      </c>
      <c r="S59" s="23" t="n">
        <v>2</v>
      </c>
      <c r="T59" s="23" t="n">
        <v>0</v>
      </c>
      <c r="U59" s="18" t="s">
        <v>126</v>
      </c>
      <c r="V59" s="18"/>
      <c r="W59" s="28" t="n">
        <f aca="false">MIN(100,MAX(0,ROUND(SUMPRODUCT(I59:S59,$I$3:$S$3)/SUM($I$3:$S$3)/5*100+T59,1)))</f>
        <v>66.4</v>
      </c>
      <c r="X59" s="15" t="str">
        <f aca="false">IF(U59="Yes","No","Yes")</f>
        <v>Yes</v>
      </c>
      <c r="Y59" s="29" t="n">
        <f aca="false">IF(X59="Yes",W59,W59-1000)-ROW()/100000</f>
        <v>66.39941</v>
      </c>
      <c r="Z59" s="15" t="n">
        <f aca="false">RANK(Y59,$Y$5:$Y$172,0)</f>
        <v>35</v>
      </c>
      <c r="AA59" s="15" t="str">
        <f aca="false">IF(X59="No","Hold – resolve flag",IF(Z59&lt;=Weights!$C$18,"Tier 1 – Flagship launch",IF(OR(Z59&lt;=Weights!$C$19,AF59="Yes"),"Tier 2 – Priority",IF(Z59&lt;=Weights!$C$20,"Tier 3 – Standard rotation","Tier 4 – Reserve"))))</f>
        <v>Tier 3 – Standard rotation</v>
      </c>
      <c r="AB59" s="18" t="s">
        <v>492</v>
      </c>
      <c r="AC59" s="27" t="s">
        <v>512</v>
      </c>
      <c r="AD59" s="18" t="s">
        <v>129</v>
      </c>
      <c r="AE59" s="15" t="s">
        <v>130</v>
      </c>
      <c r="AF59" s="23" t="s">
        <v>126</v>
      </c>
      <c r="AG59" s="29" t="n">
        <f aca="false">IF(OR(Z59&lt;=Weights!$C$19,AF59="Yes"),Y59,Y59-5000)</f>
        <v>-4933.60059</v>
      </c>
      <c r="AH59" s="15" t="str">
        <f aca="false">IF(OR(Z59&lt;=Weights!$C$19,AF59="Yes"),RANK(AG59,$AG$5:$AG$172,0),"")</f>
        <v/>
      </c>
    </row>
    <row r="60" customFormat="false" ht="35.05" hidden="false" customHeight="false" outlineLevel="0" collapsed="false">
      <c r="A60" s="18" t="s">
        <v>513</v>
      </c>
      <c r="B60" s="27" t="s">
        <v>514</v>
      </c>
      <c r="C60" s="18" t="s">
        <v>515</v>
      </c>
      <c r="D60" s="18" t="s">
        <v>516</v>
      </c>
      <c r="E60" s="18" t="s">
        <v>517</v>
      </c>
      <c r="F60" s="18" t="s">
        <v>153</v>
      </c>
      <c r="G60" s="15" t="n">
        <v>2021</v>
      </c>
      <c r="H60" s="15" t="n">
        <v>2</v>
      </c>
      <c r="I60" s="23" t="n">
        <v>2</v>
      </c>
      <c r="J60" s="23" t="n">
        <v>4</v>
      </c>
      <c r="K60" s="23" t="n">
        <v>5</v>
      </c>
      <c r="L60" s="23" t="n">
        <v>5</v>
      </c>
      <c r="M60" s="23" t="n">
        <v>3</v>
      </c>
      <c r="N60" s="23" t="n">
        <v>0</v>
      </c>
      <c r="O60" s="23" t="n">
        <v>3</v>
      </c>
      <c r="P60" s="23" t="n">
        <v>2.2</v>
      </c>
      <c r="Q60" s="23" t="n">
        <v>4</v>
      </c>
      <c r="R60" s="23" t="n">
        <v>3</v>
      </c>
      <c r="S60" s="23" t="n">
        <v>2</v>
      </c>
      <c r="T60" s="23" t="n">
        <v>0</v>
      </c>
      <c r="U60" s="18" t="s">
        <v>126</v>
      </c>
      <c r="V60" s="18"/>
      <c r="W60" s="28" t="n">
        <f aca="false">MIN(100,MAX(0,ROUND(SUMPRODUCT(I60:S60,$I$3:$S$3)/SUM($I$3:$S$3)/5*100+T60,1)))</f>
        <v>63.1</v>
      </c>
      <c r="X60" s="15" t="str">
        <f aca="false">IF(U60="Yes","No","Yes")</f>
        <v>Yes</v>
      </c>
      <c r="Y60" s="29" t="n">
        <f aca="false">IF(X60="Yes",W60,W60-1000)-ROW()/100000</f>
        <v>63.0994</v>
      </c>
      <c r="Z60" s="15" t="n">
        <f aca="false">RANK(Y60,$Y$5:$Y$172,0)</f>
        <v>56</v>
      </c>
      <c r="AA60" s="15" t="str">
        <f aca="false">IF(X60="No","Hold – resolve flag",IF(Z60&lt;=Weights!$C$18,"Tier 1 – Flagship launch",IF(OR(Z60&lt;=Weights!$C$19,AF60="Yes"),"Tier 2 – Priority",IF(Z60&lt;=Weights!$C$20,"Tier 3 – Standard rotation","Tier 4 – Reserve"))))</f>
        <v>Tier 3 – Standard rotation</v>
      </c>
      <c r="AB60" s="18" t="s">
        <v>518</v>
      </c>
      <c r="AC60" s="27" t="s">
        <v>519</v>
      </c>
      <c r="AD60" s="18" t="s">
        <v>129</v>
      </c>
      <c r="AE60" s="15" t="s">
        <v>130</v>
      </c>
      <c r="AF60" s="23" t="s">
        <v>126</v>
      </c>
      <c r="AG60" s="29" t="n">
        <f aca="false">IF(OR(Z60&lt;=Weights!$C$19,AF60="Yes"),Y60,Y60-5000)</f>
        <v>-4936.9006</v>
      </c>
      <c r="AH60" s="15" t="str">
        <f aca="false">IF(OR(Z60&lt;=Weights!$C$19,AF60="Yes"),RANK(AG60,$AG$5:$AG$172,0),"")</f>
        <v/>
      </c>
    </row>
    <row r="61" customFormat="false" ht="35.05" hidden="false" customHeight="false" outlineLevel="0" collapsed="false">
      <c r="A61" s="18" t="s">
        <v>520</v>
      </c>
      <c r="B61" s="27" t="s">
        <v>521</v>
      </c>
      <c r="C61" s="18" t="s">
        <v>522</v>
      </c>
      <c r="D61" s="18" t="s">
        <v>523</v>
      </c>
      <c r="E61" s="18" t="s">
        <v>524</v>
      </c>
      <c r="F61" s="18" t="s">
        <v>153</v>
      </c>
      <c r="G61" s="15" t="n">
        <v>2021</v>
      </c>
      <c r="H61" s="15" t="n">
        <v>3</v>
      </c>
      <c r="I61" s="23" t="n">
        <v>4</v>
      </c>
      <c r="J61" s="23" t="n">
        <v>4</v>
      </c>
      <c r="K61" s="23" t="n">
        <v>4</v>
      </c>
      <c r="L61" s="23" t="n">
        <v>5</v>
      </c>
      <c r="M61" s="23" t="n">
        <v>0</v>
      </c>
      <c r="N61" s="23" t="n">
        <v>0</v>
      </c>
      <c r="O61" s="23" t="n">
        <v>2</v>
      </c>
      <c r="P61" s="23" t="n">
        <v>2.2</v>
      </c>
      <c r="Q61" s="23" t="n">
        <v>4</v>
      </c>
      <c r="R61" s="23" t="n">
        <v>3.5</v>
      </c>
      <c r="S61" s="23" t="n">
        <v>2</v>
      </c>
      <c r="T61" s="23" t="n">
        <v>0</v>
      </c>
      <c r="U61" s="18" t="s">
        <v>126</v>
      </c>
      <c r="V61" s="18"/>
      <c r="W61" s="28" t="n">
        <f aca="false">MIN(100,MAX(0,ROUND(SUMPRODUCT(I61:S61,$I$3:$S$3)/SUM($I$3:$S$3)/5*100+T61,1)))</f>
        <v>60</v>
      </c>
      <c r="X61" s="15" t="str">
        <f aca="false">IF(U61="Yes","No","Yes")</f>
        <v>Yes</v>
      </c>
      <c r="Y61" s="29" t="n">
        <f aca="false">IF(X61="Yes",W61,W61-1000)-ROW()/100000</f>
        <v>59.99939</v>
      </c>
      <c r="Z61" s="15" t="n">
        <f aca="false">RANK(Y61,$Y$5:$Y$172,0)</f>
        <v>81</v>
      </c>
      <c r="AA61" s="15" t="str">
        <f aca="false">IF(X61="No","Hold – resolve flag",IF(Z61&lt;=Weights!$C$18,"Tier 1 – Flagship launch",IF(OR(Z61&lt;=Weights!$C$19,AF61="Yes"),"Tier 2 – Priority",IF(Z61&lt;=Weights!$C$20,"Tier 3 – Standard rotation","Tier 4 – Reserve"))))</f>
        <v>Tier 2 – Priority</v>
      </c>
      <c r="AB61" s="18" t="s">
        <v>525</v>
      </c>
      <c r="AC61" s="27" t="s">
        <v>526</v>
      </c>
      <c r="AD61" s="18" t="s">
        <v>216</v>
      </c>
      <c r="AE61" s="15" t="s">
        <v>217</v>
      </c>
      <c r="AF61" s="23" t="s">
        <v>131</v>
      </c>
      <c r="AG61" s="29" t="n">
        <f aca="false">IF(OR(Z61&lt;=Weights!$C$19,AF61="Yes"),Y61,Y61-5000)</f>
        <v>59.99939</v>
      </c>
      <c r="AH61" s="15" t="n">
        <f aca="false">IF(OR(Z61&lt;=Weights!$C$19,AF61="Yes"),RANK(AG61,$AG$5:$AG$172,0),"")</f>
        <v>46</v>
      </c>
    </row>
    <row r="62" customFormat="false" ht="35.05" hidden="false" customHeight="false" outlineLevel="0" collapsed="false">
      <c r="A62" s="18" t="s">
        <v>527</v>
      </c>
      <c r="B62" s="27" t="s">
        <v>528</v>
      </c>
      <c r="C62" s="18" t="s">
        <v>529</v>
      </c>
      <c r="D62" s="18" t="s">
        <v>530</v>
      </c>
      <c r="E62" s="18" t="s">
        <v>531</v>
      </c>
      <c r="F62" s="18" t="s">
        <v>153</v>
      </c>
      <c r="G62" s="15" t="n">
        <v>2021</v>
      </c>
      <c r="H62" s="15" t="n">
        <v>3</v>
      </c>
      <c r="I62" s="23" t="n">
        <v>4</v>
      </c>
      <c r="J62" s="23" t="n">
        <v>4</v>
      </c>
      <c r="K62" s="23" t="n">
        <v>4</v>
      </c>
      <c r="L62" s="23" t="n">
        <v>5</v>
      </c>
      <c r="M62" s="23" t="n">
        <v>0</v>
      </c>
      <c r="N62" s="23" t="n">
        <v>5</v>
      </c>
      <c r="O62" s="23" t="n">
        <v>2</v>
      </c>
      <c r="P62" s="23" t="n">
        <v>2.2</v>
      </c>
      <c r="Q62" s="23" t="n">
        <v>4.3</v>
      </c>
      <c r="R62" s="23" t="n">
        <v>3</v>
      </c>
      <c r="S62" s="23" t="n">
        <v>2</v>
      </c>
      <c r="T62" s="23" t="n">
        <v>0</v>
      </c>
      <c r="U62" s="18" t="s">
        <v>126</v>
      </c>
      <c r="V62" s="18"/>
      <c r="W62" s="28" t="n">
        <f aca="false">MIN(100,MAX(0,ROUND(SUMPRODUCT(I62:S62,$I$3:$S$3)/SUM($I$3:$S$3)/5*100+T62,1)))</f>
        <v>65</v>
      </c>
      <c r="X62" s="15" t="str">
        <f aca="false">IF(U62="Yes","No","Yes")</f>
        <v>Yes</v>
      </c>
      <c r="Y62" s="29" t="n">
        <f aca="false">IF(X62="Yes",W62,W62-1000)-ROW()/100000</f>
        <v>64.99938</v>
      </c>
      <c r="Z62" s="15" t="n">
        <f aca="false">RANK(Y62,$Y$5:$Y$172,0)</f>
        <v>44</v>
      </c>
      <c r="AA62" s="15" t="str">
        <f aca="false">IF(X62="No","Hold – resolve flag",IF(Z62&lt;=Weights!$C$18,"Tier 1 – Flagship launch",IF(OR(Z62&lt;=Weights!$C$19,AF62="Yes"),"Tier 2 – Priority",IF(Z62&lt;=Weights!$C$20,"Tier 3 – Standard rotation","Tier 4 – Reserve"))))</f>
        <v>Tier 3 – Standard rotation</v>
      </c>
      <c r="AB62" s="18" t="s">
        <v>532</v>
      </c>
      <c r="AC62" s="27" t="s">
        <v>533</v>
      </c>
      <c r="AD62" s="18" t="s">
        <v>129</v>
      </c>
      <c r="AE62" s="15" t="s">
        <v>130</v>
      </c>
      <c r="AF62" s="23" t="s">
        <v>126</v>
      </c>
      <c r="AG62" s="29" t="n">
        <f aca="false">IF(OR(Z62&lt;=Weights!$C$19,AF62="Yes"),Y62,Y62-5000)</f>
        <v>-4935.00062</v>
      </c>
      <c r="AH62" s="15" t="str">
        <f aca="false">IF(OR(Z62&lt;=Weights!$C$19,AF62="Yes"),RANK(AG62,$AG$5:$AG$172,0),"")</f>
        <v/>
      </c>
    </row>
    <row r="63" customFormat="false" ht="35.05" hidden="false" customHeight="false" outlineLevel="0" collapsed="false">
      <c r="A63" s="18" t="s">
        <v>534</v>
      </c>
      <c r="B63" s="27" t="s">
        <v>535</v>
      </c>
      <c r="C63" s="18" t="s">
        <v>536</v>
      </c>
      <c r="D63" s="18" t="s">
        <v>537</v>
      </c>
      <c r="E63" s="18" t="s">
        <v>538</v>
      </c>
      <c r="F63" s="18" t="s">
        <v>153</v>
      </c>
      <c r="G63" s="15" t="n">
        <v>2021</v>
      </c>
      <c r="H63" s="15" t="n">
        <v>3</v>
      </c>
      <c r="I63" s="23" t="n">
        <v>2</v>
      </c>
      <c r="J63" s="23" t="n">
        <v>4</v>
      </c>
      <c r="K63" s="23" t="n">
        <v>4</v>
      </c>
      <c r="L63" s="23" t="n">
        <v>5</v>
      </c>
      <c r="M63" s="23" t="n">
        <v>0</v>
      </c>
      <c r="N63" s="23" t="n">
        <v>3</v>
      </c>
      <c r="O63" s="23" t="n">
        <v>2</v>
      </c>
      <c r="P63" s="23" t="n">
        <v>2.2</v>
      </c>
      <c r="Q63" s="23" t="n">
        <v>4</v>
      </c>
      <c r="R63" s="23" t="n">
        <v>3</v>
      </c>
      <c r="S63" s="23" t="n">
        <v>2</v>
      </c>
      <c r="T63" s="23" t="n">
        <v>0</v>
      </c>
      <c r="U63" s="18" t="s">
        <v>126</v>
      </c>
      <c r="V63" s="18"/>
      <c r="W63" s="28" t="n">
        <f aca="false">MIN(100,MAX(0,ROUND(SUMPRODUCT(I63:S63,$I$3:$S$3)/SUM($I$3:$S$3)/5*100+T63,1)))</f>
        <v>58.9</v>
      </c>
      <c r="X63" s="15" t="str">
        <f aca="false">IF(U63="Yes","No","Yes")</f>
        <v>Yes</v>
      </c>
      <c r="Y63" s="29" t="n">
        <f aca="false">IF(X63="Yes",W63,W63-1000)-ROW()/100000</f>
        <v>58.89937</v>
      </c>
      <c r="Z63" s="15" t="n">
        <f aca="false">RANK(Y63,$Y$5:$Y$172,0)</f>
        <v>91</v>
      </c>
      <c r="AA63" s="15" t="str">
        <f aca="false">IF(X63="No","Hold – resolve flag",IF(Z63&lt;=Weights!$C$18,"Tier 1 – Flagship launch",IF(OR(Z63&lt;=Weights!$C$19,AF63="Yes"),"Tier 2 – Priority",IF(Z63&lt;=Weights!$C$20,"Tier 3 – Standard rotation","Tier 4 – Reserve"))))</f>
        <v>Tier 2 – Priority</v>
      </c>
      <c r="AB63" s="18" t="s">
        <v>539</v>
      </c>
      <c r="AC63" s="27" t="s">
        <v>540</v>
      </c>
      <c r="AD63" s="18" t="s">
        <v>129</v>
      </c>
      <c r="AE63" s="15" t="s">
        <v>130</v>
      </c>
      <c r="AF63" s="23" t="s">
        <v>131</v>
      </c>
      <c r="AG63" s="29" t="n">
        <f aca="false">IF(OR(Z63&lt;=Weights!$C$19,AF63="Yes"),Y63,Y63-5000)</f>
        <v>58.89937</v>
      </c>
      <c r="AH63" s="15" t="n">
        <f aca="false">IF(OR(Z63&lt;=Weights!$C$19,AF63="Yes"),RANK(AG63,$AG$5:$AG$172,0),"")</f>
        <v>52</v>
      </c>
    </row>
    <row r="64" customFormat="false" ht="35.05" hidden="false" customHeight="false" outlineLevel="0" collapsed="false">
      <c r="A64" s="18" t="s">
        <v>541</v>
      </c>
      <c r="B64" s="27" t="s">
        <v>542</v>
      </c>
      <c r="C64" s="18" t="s">
        <v>543</v>
      </c>
      <c r="D64" s="18" t="s">
        <v>211</v>
      </c>
      <c r="E64" s="18" t="s">
        <v>544</v>
      </c>
      <c r="F64" s="18" t="s">
        <v>153</v>
      </c>
      <c r="G64" s="15" t="n">
        <v>2021</v>
      </c>
      <c r="H64" s="15" t="n">
        <v>4</v>
      </c>
      <c r="I64" s="23" t="n">
        <v>2</v>
      </c>
      <c r="J64" s="23" t="n">
        <v>5</v>
      </c>
      <c r="K64" s="23" t="n">
        <v>4</v>
      </c>
      <c r="L64" s="23" t="n">
        <v>5</v>
      </c>
      <c r="M64" s="23" t="n">
        <v>5</v>
      </c>
      <c r="N64" s="23" t="n">
        <v>0</v>
      </c>
      <c r="O64" s="23" t="n">
        <v>3</v>
      </c>
      <c r="P64" s="23" t="n">
        <v>2.8</v>
      </c>
      <c r="Q64" s="23" t="n">
        <v>4.3</v>
      </c>
      <c r="R64" s="23" t="n">
        <v>3</v>
      </c>
      <c r="S64" s="23" t="n">
        <v>2</v>
      </c>
      <c r="T64" s="23" t="n">
        <v>0</v>
      </c>
      <c r="U64" s="18" t="s">
        <v>126</v>
      </c>
      <c r="V64" s="18"/>
      <c r="W64" s="28" t="n">
        <f aca="false">MIN(100,MAX(0,ROUND(SUMPRODUCT(I64:S64,$I$3:$S$3)/SUM($I$3:$S$3)/5*100+T64,1)))</f>
        <v>68.2</v>
      </c>
      <c r="X64" s="15" t="str">
        <f aca="false">IF(U64="Yes","No","Yes")</f>
        <v>Yes</v>
      </c>
      <c r="Y64" s="29" t="n">
        <f aca="false">IF(X64="Yes",W64,W64-1000)-ROW()/100000</f>
        <v>68.19936</v>
      </c>
      <c r="Z64" s="15" t="n">
        <f aca="false">RANK(Y64,$Y$5:$Y$172,0)</f>
        <v>26</v>
      </c>
      <c r="AA64" s="15" t="str">
        <f aca="false">IF(X64="No","Hold – resolve flag",IF(Z64&lt;=Weights!$C$18,"Tier 1 – Flagship launch",IF(OR(Z64&lt;=Weights!$C$19,AF64="Yes"),"Tier 2 – Priority",IF(Z64&lt;=Weights!$C$20,"Tier 3 – Standard rotation","Tier 4 – Reserve"))))</f>
        <v>Tier 2 – Priority</v>
      </c>
      <c r="AB64" s="18" t="s">
        <v>545</v>
      </c>
      <c r="AC64" s="27" t="s">
        <v>546</v>
      </c>
      <c r="AD64" s="18" t="s">
        <v>129</v>
      </c>
      <c r="AE64" s="15" t="s">
        <v>130</v>
      </c>
      <c r="AF64" s="23" t="s">
        <v>126</v>
      </c>
      <c r="AG64" s="29" t="n">
        <f aca="false">IF(OR(Z64&lt;=Weights!$C$19,AF64="Yes"),Y64,Y64-5000)</f>
        <v>68.19936</v>
      </c>
      <c r="AH64" s="15" t="n">
        <f aca="false">IF(OR(Z64&lt;=Weights!$C$19,AF64="Yes"),RANK(AG64,$AG$5:$AG$172,0),"")</f>
        <v>26</v>
      </c>
    </row>
    <row r="65" customFormat="false" ht="35.05" hidden="false" customHeight="false" outlineLevel="0" collapsed="false">
      <c r="A65" s="18" t="s">
        <v>547</v>
      </c>
      <c r="B65" s="27" t="s">
        <v>548</v>
      </c>
      <c r="C65" s="18" t="s">
        <v>549</v>
      </c>
      <c r="D65" s="18" t="s">
        <v>550</v>
      </c>
      <c r="E65" s="18" t="s">
        <v>551</v>
      </c>
      <c r="F65" s="18" t="s">
        <v>153</v>
      </c>
      <c r="G65" s="15" t="n">
        <v>2021</v>
      </c>
      <c r="H65" s="15" t="n">
        <v>4</v>
      </c>
      <c r="I65" s="23" t="n">
        <v>4</v>
      </c>
      <c r="J65" s="23" t="n">
        <v>5</v>
      </c>
      <c r="K65" s="23" t="n">
        <v>4</v>
      </c>
      <c r="L65" s="23" t="n">
        <v>5</v>
      </c>
      <c r="M65" s="23" t="n">
        <v>5</v>
      </c>
      <c r="N65" s="23" t="n">
        <v>0</v>
      </c>
      <c r="O65" s="23" t="n">
        <v>3</v>
      </c>
      <c r="P65" s="23" t="n">
        <v>2.2</v>
      </c>
      <c r="Q65" s="23" t="n">
        <v>4.3</v>
      </c>
      <c r="R65" s="23" t="n">
        <v>3</v>
      </c>
      <c r="S65" s="23" t="n">
        <v>3</v>
      </c>
      <c r="T65" s="23" t="n">
        <v>0</v>
      </c>
      <c r="U65" s="18" t="s">
        <v>126</v>
      </c>
      <c r="V65" s="18"/>
      <c r="W65" s="28" t="n">
        <f aca="false">MIN(100,MAX(0,ROUND(SUMPRODUCT(I65:S65,$I$3:$S$3)/SUM($I$3:$S$3)/5*100+T65,1)))</f>
        <v>72</v>
      </c>
      <c r="X65" s="15" t="str">
        <f aca="false">IF(U65="Yes","No","Yes")</f>
        <v>Yes</v>
      </c>
      <c r="Y65" s="29" t="n">
        <f aca="false">IF(X65="Yes",W65,W65-1000)-ROW()/100000</f>
        <v>71.99935</v>
      </c>
      <c r="Z65" s="15" t="n">
        <f aca="false">RANK(Y65,$Y$5:$Y$172,0)</f>
        <v>14</v>
      </c>
      <c r="AA65" s="15" t="str">
        <f aca="false">IF(X65="No","Hold – resolve flag",IF(Z65&lt;=Weights!$C$18,"Tier 1 – Flagship launch",IF(OR(Z65&lt;=Weights!$C$19,AF65="Yes"),"Tier 2 – Priority",IF(Z65&lt;=Weights!$C$20,"Tier 3 – Standard rotation","Tier 4 – Reserve"))))</f>
        <v>Tier 2 – Priority</v>
      </c>
      <c r="AB65" s="18" t="s">
        <v>545</v>
      </c>
      <c r="AC65" s="27" t="s">
        <v>552</v>
      </c>
      <c r="AD65" s="18" t="s">
        <v>129</v>
      </c>
      <c r="AE65" s="15" t="s">
        <v>130</v>
      </c>
      <c r="AF65" s="23" t="s">
        <v>131</v>
      </c>
      <c r="AG65" s="29" t="n">
        <f aca="false">IF(OR(Z65&lt;=Weights!$C$19,AF65="Yes"),Y65,Y65-5000)</f>
        <v>71.99935</v>
      </c>
      <c r="AH65" s="15" t="n">
        <f aca="false">IF(OR(Z65&lt;=Weights!$C$19,AF65="Yes"),RANK(AG65,$AG$5:$AG$172,0),"")</f>
        <v>14</v>
      </c>
    </row>
    <row r="66" customFormat="false" ht="35.05" hidden="false" customHeight="false" outlineLevel="0" collapsed="false">
      <c r="A66" s="18" t="s">
        <v>553</v>
      </c>
      <c r="B66" s="27" t="s">
        <v>554</v>
      </c>
      <c r="C66" s="18" t="s">
        <v>555</v>
      </c>
      <c r="D66" s="18" t="s">
        <v>556</v>
      </c>
      <c r="E66" s="18" t="s">
        <v>557</v>
      </c>
      <c r="F66" s="18" t="s">
        <v>153</v>
      </c>
      <c r="G66" s="15" t="n">
        <v>2021</v>
      </c>
      <c r="H66" s="15" t="n">
        <v>5</v>
      </c>
      <c r="I66" s="23" t="n">
        <v>4</v>
      </c>
      <c r="J66" s="23" t="n">
        <v>5</v>
      </c>
      <c r="K66" s="23" t="n">
        <v>3</v>
      </c>
      <c r="L66" s="23" t="n">
        <v>5</v>
      </c>
      <c r="M66" s="23" t="n">
        <v>0</v>
      </c>
      <c r="N66" s="23" t="n">
        <v>3</v>
      </c>
      <c r="O66" s="23" t="n">
        <v>2</v>
      </c>
      <c r="P66" s="23" t="n">
        <v>2.2</v>
      </c>
      <c r="Q66" s="23" t="n">
        <v>4</v>
      </c>
      <c r="R66" s="23" t="n">
        <v>3</v>
      </c>
      <c r="S66" s="23" t="n">
        <v>2</v>
      </c>
      <c r="T66" s="23" t="n">
        <v>0</v>
      </c>
      <c r="U66" s="18" t="s">
        <v>126</v>
      </c>
      <c r="V66" s="18"/>
      <c r="W66" s="28" t="n">
        <f aca="false">MIN(100,MAX(0,ROUND(SUMPRODUCT(I66:S66,$I$3:$S$3)/SUM($I$3:$S$3)/5*100+T66,1)))</f>
        <v>62.9</v>
      </c>
      <c r="X66" s="15" t="str">
        <f aca="false">IF(U66="Yes","No","Yes")</f>
        <v>Yes</v>
      </c>
      <c r="Y66" s="29" t="n">
        <f aca="false">IF(X66="Yes",W66,W66-1000)-ROW()/100000</f>
        <v>62.89934</v>
      </c>
      <c r="Z66" s="15" t="n">
        <f aca="false">RANK(Y66,$Y$5:$Y$172,0)</f>
        <v>59</v>
      </c>
      <c r="AA66" s="15" t="str">
        <f aca="false">IF(X66="No","Hold – resolve flag",IF(Z66&lt;=Weights!$C$18,"Tier 1 – Flagship launch",IF(OR(Z66&lt;=Weights!$C$19,AF66="Yes"),"Tier 2 – Priority",IF(Z66&lt;=Weights!$C$20,"Tier 3 – Standard rotation","Tier 4 – Reserve"))))</f>
        <v>Tier 3 – Standard rotation</v>
      </c>
      <c r="AB66" s="18" t="s">
        <v>558</v>
      </c>
      <c r="AC66" s="27" t="s">
        <v>559</v>
      </c>
      <c r="AD66" s="18" t="s">
        <v>129</v>
      </c>
      <c r="AE66" s="15" t="s">
        <v>130</v>
      </c>
      <c r="AF66" s="23" t="s">
        <v>126</v>
      </c>
      <c r="AG66" s="29" t="n">
        <f aca="false">IF(OR(Z66&lt;=Weights!$C$19,AF66="Yes"),Y66,Y66-5000)</f>
        <v>-4937.10066</v>
      </c>
      <c r="AH66" s="15" t="str">
        <f aca="false">IF(OR(Z66&lt;=Weights!$C$19,AF66="Yes"),RANK(AG66,$AG$5:$AG$172,0),"")</f>
        <v/>
      </c>
    </row>
    <row r="67" customFormat="false" ht="35.05" hidden="false" customHeight="false" outlineLevel="0" collapsed="false">
      <c r="A67" s="18" t="s">
        <v>560</v>
      </c>
      <c r="B67" s="27" t="s">
        <v>561</v>
      </c>
      <c r="C67" s="18" t="s">
        <v>562</v>
      </c>
      <c r="D67" s="18" t="s">
        <v>563</v>
      </c>
      <c r="E67" s="18" t="s">
        <v>564</v>
      </c>
      <c r="F67" s="18" t="s">
        <v>153</v>
      </c>
      <c r="G67" s="15" t="n">
        <v>2021</v>
      </c>
      <c r="H67" s="15" t="n">
        <v>7</v>
      </c>
      <c r="I67" s="23" t="n">
        <v>2</v>
      </c>
      <c r="J67" s="23" t="n">
        <v>2</v>
      </c>
      <c r="K67" s="23" t="n">
        <v>3</v>
      </c>
      <c r="L67" s="23" t="n">
        <v>5</v>
      </c>
      <c r="M67" s="23" t="n">
        <v>5</v>
      </c>
      <c r="N67" s="23" t="n">
        <v>0</v>
      </c>
      <c r="O67" s="23" t="n">
        <v>3</v>
      </c>
      <c r="P67" s="23" t="n">
        <v>2.2</v>
      </c>
      <c r="Q67" s="23" t="n">
        <v>3.4</v>
      </c>
      <c r="R67" s="23" t="n">
        <v>3</v>
      </c>
      <c r="S67" s="23" t="n">
        <v>2</v>
      </c>
      <c r="T67" s="23" t="n">
        <v>0</v>
      </c>
      <c r="U67" s="18" t="s">
        <v>126</v>
      </c>
      <c r="V67" s="18"/>
      <c r="W67" s="28" t="n">
        <f aca="false">MIN(100,MAX(0,ROUND(SUMPRODUCT(I67:S67,$I$3:$S$3)/SUM($I$3:$S$3)/5*100+T67,1)))</f>
        <v>57</v>
      </c>
      <c r="X67" s="15" t="str">
        <f aca="false">IF(U67="Yes","No","Yes")</f>
        <v>Yes</v>
      </c>
      <c r="Y67" s="29" t="n">
        <f aca="false">IF(X67="Yes",W67,W67-1000)-ROW()/100000</f>
        <v>56.99933</v>
      </c>
      <c r="Z67" s="15" t="n">
        <f aca="false">RANK(Y67,$Y$5:$Y$172,0)</f>
        <v>104</v>
      </c>
      <c r="AA67" s="15" t="str">
        <f aca="false">IF(X67="No","Hold – resolve flag",IF(Z67&lt;=Weights!$C$18,"Tier 1 – Flagship launch",IF(OR(Z67&lt;=Weights!$C$19,AF67="Yes"),"Tier 2 – Priority",IF(Z67&lt;=Weights!$C$20,"Tier 3 – Standard rotation","Tier 4 – Reserve"))))</f>
        <v>Tier 4 – Reserve</v>
      </c>
      <c r="AB67" s="18" t="s">
        <v>565</v>
      </c>
      <c r="AC67" s="27" t="s">
        <v>566</v>
      </c>
      <c r="AD67" s="18" t="s">
        <v>500</v>
      </c>
      <c r="AE67" s="15" t="s">
        <v>130</v>
      </c>
      <c r="AF67" s="23" t="s">
        <v>126</v>
      </c>
      <c r="AG67" s="29" t="n">
        <f aca="false">IF(OR(Z67&lt;=Weights!$C$19,AF67="Yes"),Y67,Y67-5000)</f>
        <v>-4943.00067</v>
      </c>
      <c r="AH67" s="15" t="str">
        <f aca="false">IF(OR(Z67&lt;=Weights!$C$19,AF67="Yes"),RANK(AG67,$AG$5:$AG$172,0),"")</f>
        <v/>
      </c>
    </row>
    <row r="68" customFormat="false" ht="23.85" hidden="false" customHeight="false" outlineLevel="0" collapsed="false">
      <c r="A68" s="18" t="s">
        <v>567</v>
      </c>
      <c r="B68" s="27" t="s">
        <v>568</v>
      </c>
      <c r="C68" s="18" t="s">
        <v>569</v>
      </c>
      <c r="D68" s="18" t="s">
        <v>570</v>
      </c>
      <c r="E68" s="18" t="s">
        <v>571</v>
      </c>
      <c r="F68" s="18" t="s">
        <v>153</v>
      </c>
      <c r="G68" s="15" t="n">
        <v>2021</v>
      </c>
      <c r="H68" s="15" t="n">
        <v>9</v>
      </c>
      <c r="I68" s="23" t="n">
        <v>2</v>
      </c>
      <c r="J68" s="23" t="n">
        <v>2</v>
      </c>
      <c r="K68" s="23" t="n">
        <v>2</v>
      </c>
      <c r="L68" s="23" t="n">
        <v>5</v>
      </c>
      <c r="M68" s="23" t="n">
        <v>3</v>
      </c>
      <c r="N68" s="23" t="n">
        <v>3</v>
      </c>
      <c r="O68" s="23" t="n">
        <v>3</v>
      </c>
      <c r="P68" s="23" t="n">
        <v>2.2</v>
      </c>
      <c r="Q68" s="23" t="n">
        <v>3</v>
      </c>
      <c r="R68" s="23" t="n">
        <v>3</v>
      </c>
      <c r="S68" s="23" t="n">
        <v>2</v>
      </c>
      <c r="T68" s="23" t="n">
        <v>0</v>
      </c>
      <c r="U68" s="18" t="s">
        <v>126</v>
      </c>
      <c r="V68" s="18"/>
      <c r="W68" s="28" t="n">
        <f aca="false">MIN(100,MAX(0,ROUND(SUMPRODUCT(I68:S68,$I$3:$S$3)/SUM($I$3:$S$3)/5*100+T68,1)))</f>
        <v>55.5</v>
      </c>
      <c r="X68" s="15" t="str">
        <f aca="false">IF(U68="Yes","No","Yes")</f>
        <v>Yes</v>
      </c>
      <c r="Y68" s="29" t="n">
        <f aca="false">IF(X68="Yes",W68,W68-1000)-ROW()/100000</f>
        <v>55.49932</v>
      </c>
      <c r="Z68" s="15" t="n">
        <f aca="false">RANK(Y68,$Y$5:$Y$172,0)</f>
        <v>116</v>
      </c>
      <c r="AA68" s="15" t="str">
        <f aca="false">IF(X68="No","Hold – resolve flag",IF(Z68&lt;=Weights!$C$18,"Tier 1 – Flagship launch",IF(OR(Z68&lt;=Weights!$C$19,AF68="Yes"),"Tier 2 – Priority",IF(Z68&lt;=Weights!$C$20,"Tier 3 – Standard rotation","Tier 4 – Reserve"))))</f>
        <v>Tier 4 – Reserve</v>
      </c>
      <c r="AB68" s="18" t="s">
        <v>572</v>
      </c>
      <c r="AC68" s="27" t="s">
        <v>573</v>
      </c>
      <c r="AD68" s="18" t="s">
        <v>500</v>
      </c>
      <c r="AE68" s="15" t="s">
        <v>130</v>
      </c>
      <c r="AF68" s="23" t="s">
        <v>126</v>
      </c>
      <c r="AG68" s="29" t="n">
        <f aca="false">IF(OR(Z68&lt;=Weights!$C$19,AF68="Yes"),Y68,Y68-5000)</f>
        <v>-4944.50068</v>
      </c>
      <c r="AH68" s="15" t="str">
        <f aca="false">IF(OR(Z68&lt;=Weights!$C$19,AF68="Yes"),RANK(AG68,$AG$5:$AG$172,0),"")</f>
        <v/>
      </c>
    </row>
    <row r="69" customFormat="false" ht="35.05" hidden="false" customHeight="false" outlineLevel="0" collapsed="false">
      <c r="A69" s="18" t="s">
        <v>574</v>
      </c>
      <c r="B69" s="27" t="s">
        <v>575</v>
      </c>
      <c r="C69" s="18" t="s">
        <v>576</v>
      </c>
      <c r="D69" s="18" t="s">
        <v>197</v>
      </c>
      <c r="E69" s="18" t="s">
        <v>577</v>
      </c>
      <c r="F69" s="18" t="s">
        <v>153</v>
      </c>
      <c r="G69" s="15" t="n">
        <v>2021</v>
      </c>
      <c r="H69" s="15" t="n">
        <v>9</v>
      </c>
      <c r="I69" s="23" t="n">
        <v>2</v>
      </c>
      <c r="J69" s="23" t="n">
        <v>4</v>
      </c>
      <c r="K69" s="23" t="n">
        <v>2</v>
      </c>
      <c r="L69" s="23" t="n">
        <v>5</v>
      </c>
      <c r="M69" s="23" t="n">
        <v>0</v>
      </c>
      <c r="N69" s="23" t="n">
        <v>0</v>
      </c>
      <c r="O69" s="23" t="n">
        <v>2</v>
      </c>
      <c r="P69" s="23" t="n">
        <v>2.2</v>
      </c>
      <c r="Q69" s="23" t="n">
        <v>4</v>
      </c>
      <c r="R69" s="23" t="n">
        <v>3</v>
      </c>
      <c r="S69" s="23" t="n">
        <v>2</v>
      </c>
      <c r="T69" s="23" t="n">
        <v>0</v>
      </c>
      <c r="U69" s="18" t="s">
        <v>126</v>
      </c>
      <c r="V69" s="18"/>
      <c r="W69" s="28" t="n">
        <f aca="false">MIN(100,MAX(0,ROUND(SUMPRODUCT(I69:S69,$I$3:$S$3)/SUM($I$3:$S$3)/5*100+T69,1)))</f>
        <v>52.1</v>
      </c>
      <c r="X69" s="15" t="str">
        <f aca="false">IF(U69="Yes","No","Yes")</f>
        <v>Yes</v>
      </c>
      <c r="Y69" s="29" t="n">
        <f aca="false">IF(X69="Yes",W69,W69-1000)-ROW()/100000</f>
        <v>52.09931</v>
      </c>
      <c r="Z69" s="15" t="n">
        <f aca="false">RANK(Y69,$Y$5:$Y$172,0)</f>
        <v>137</v>
      </c>
      <c r="AA69" s="15" t="str">
        <f aca="false">IF(X69="No","Hold – resolve flag",IF(Z69&lt;=Weights!$C$18,"Tier 1 – Flagship launch",IF(OR(Z69&lt;=Weights!$C$19,AF69="Yes"),"Tier 2 – Priority",IF(Z69&lt;=Weights!$C$20,"Tier 3 – Standard rotation","Tier 4 – Reserve"))))</f>
        <v>Tier 4 – Reserve</v>
      </c>
      <c r="AB69" s="18" t="s">
        <v>578</v>
      </c>
      <c r="AC69" s="27" t="s">
        <v>579</v>
      </c>
      <c r="AD69" s="18" t="s">
        <v>129</v>
      </c>
      <c r="AE69" s="15" t="s">
        <v>130</v>
      </c>
      <c r="AF69" s="23" t="s">
        <v>126</v>
      </c>
      <c r="AG69" s="29" t="n">
        <f aca="false">IF(OR(Z69&lt;=Weights!$C$19,AF69="Yes"),Y69,Y69-5000)</f>
        <v>-4947.90069</v>
      </c>
      <c r="AH69" s="15" t="str">
        <f aca="false">IF(OR(Z69&lt;=Weights!$C$19,AF69="Yes"),RANK(AG69,$AG$5:$AG$172,0),"")</f>
        <v/>
      </c>
    </row>
    <row r="70" customFormat="false" ht="35.05" hidden="false" customHeight="false" outlineLevel="0" collapsed="false">
      <c r="A70" s="18" t="s">
        <v>580</v>
      </c>
      <c r="B70" s="27" t="s">
        <v>581</v>
      </c>
      <c r="C70" s="18" t="s">
        <v>582</v>
      </c>
      <c r="D70" s="18" t="s">
        <v>144</v>
      </c>
      <c r="E70" s="18" t="s">
        <v>583</v>
      </c>
      <c r="F70" s="18" t="s">
        <v>584</v>
      </c>
      <c r="G70" s="15" t="n">
        <v>2021</v>
      </c>
      <c r="H70" s="15" t="n">
        <v>3</v>
      </c>
      <c r="I70" s="23" t="n">
        <v>4</v>
      </c>
      <c r="J70" s="23" t="n">
        <v>3</v>
      </c>
      <c r="K70" s="23" t="n">
        <v>4</v>
      </c>
      <c r="L70" s="23" t="n">
        <v>4</v>
      </c>
      <c r="M70" s="23" t="n">
        <v>0</v>
      </c>
      <c r="N70" s="23" t="n">
        <v>0</v>
      </c>
      <c r="O70" s="23" t="n">
        <v>2</v>
      </c>
      <c r="P70" s="23" t="n">
        <v>2.2</v>
      </c>
      <c r="Q70" s="23" t="n">
        <v>3.4</v>
      </c>
      <c r="R70" s="23" t="n">
        <v>3</v>
      </c>
      <c r="S70" s="23" t="n">
        <v>3</v>
      </c>
      <c r="T70" s="23" t="n">
        <v>0</v>
      </c>
      <c r="U70" s="18" t="s">
        <v>126</v>
      </c>
      <c r="V70" s="18"/>
      <c r="W70" s="28" t="n">
        <f aca="false">MIN(100,MAX(0,ROUND(SUMPRODUCT(I70:S70,$I$3:$S$3)/SUM($I$3:$S$3)/5*100+T70,1)))</f>
        <v>54.8</v>
      </c>
      <c r="X70" s="15" t="str">
        <f aca="false">IF(U70="Yes","No","Yes")</f>
        <v>Yes</v>
      </c>
      <c r="Y70" s="29" t="n">
        <f aca="false">IF(X70="Yes",W70,W70-1000)-ROW()/100000</f>
        <v>54.7993</v>
      </c>
      <c r="Z70" s="15" t="n">
        <f aca="false">RANK(Y70,$Y$5:$Y$172,0)</f>
        <v>125</v>
      </c>
      <c r="AA70" s="15" t="str">
        <f aca="false">IF(X70="No","Hold – resolve flag",IF(Z70&lt;=Weights!$C$18,"Tier 1 – Flagship launch",IF(OR(Z70&lt;=Weights!$C$19,AF70="Yes"),"Tier 2 – Priority",IF(Z70&lt;=Weights!$C$20,"Tier 3 – Standard rotation","Tier 4 – Reserve"))))</f>
        <v>Tier 4 – Reserve</v>
      </c>
      <c r="AB70" s="18" t="s">
        <v>585</v>
      </c>
      <c r="AC70" s="27" t="s">
        <v>586</v>
      </c>
      <c r="AD70" s="18" t="s">
        <v>500</v>
      </c>
      <c r="AE70" s="15" t="s">
        <v>130</v>
      </c>
      <c r="AF70" s="23" t="s">
        <v>126</v>
      </c>
      <c r="AG70" s="29" t="n">
        <f aca="false">IF(OR(Z70&lt;=Weights!$C$19,AF70="Yes"),Y70,Y70-5000)</f>
        <v>-4945.2007</v>
      </c>
      <c r="AH70" s="15" t="str">
        <f aca="false">IF(OR(Z70&lt;=Weights!$C$19,AF70="Yes"),RANK(AG70,$AG$5:$AG$172,0),"")</f>
        <v/>
      </c>
    </row>
    <row r="71" customFormat="false" ht="35.05" hidden="false" customHeight="false" outlineLevel="0" collapsed="false">
      <c r="A71" s="18" t="s">
        <v>587</v>
      </c>
      <c r="B71" s="27" t="s">
        <v>588</v>
      </c>
      <c r="C71" s="18" t="s">
        <v>589</v>
      </c>
      <c r="D71" s="18" t="s">
        <v>504</v>
      </c>
      <c r="E71" s="18" t="s">
        <v>590</v>
      </c>
      <c r="F71" s="18" t="s">
        <v>153</v>
      </c>
      <c r="G71" s="15" t="n">
        <v>2021</v>
      </c>
      <c r="H71" s="15" t="n">
        <v>5</v>
      </c>
      <c r="I71" s="23" t="n">
        <v>2</v>
      </c>
      <c r="J71" s="23" t="n">
        <v>4</v>
      </c>
      <c r="K71" s="23" t="n">
        <v>3</v>
      </c>
      <c r="L71" s="23" t="n">
        <v>5</v>
      </c>
      <c r="M71" s="23" t="n">
        <v>0</v>
      </c>
      <c r="N71" s="23" t="n">
        <v>3</v>
      </c>
      <c r="O71" s="23" t="n">
        <v>2</v>
      </c>
      <c r="P71" s="23" t="n">
        <v>2.2</v>
      </c>
      <c r="Q71" s="23" t="n">
        <v>4</v>
      </c>
      <c r="R71" s="23" t="n">
        <v>3.5</v>
      </c>
      <c r="S71" s="23" t="n">
        <v>2</v>
      </c>
      <c r="T71" s="23" t="n">
        <v>0</v>
      </c>
      <c r="U71" s="18" t="s">
        <v>126</v>
      </c>
      <c r="V71" s="18"/>
      <c r="W71" s="28" t="n">
        <f aca="false">MIN(100,MAX(0,ROUND(SUMPRODUCT(I71:S71,$I$3:$S$3)/SUM($I$3:$S$3)/5*100+T71,1)))</f>
        <v>58.8</v>
      </c>
      <c r="X71" s="15" t="str">
        <f aca="false">IF(U71="Yes","No","Yes")</f>
        <v>Yes</v>
      </c>
      <c r="Y71" s="29" t="n">
        <f aca="false">IF(X71="Yes",W71,W71-1000)-ROW()/100000</f>
        <v>58.79929</v>
      </c>
      <c r="Z71" s="15" t="n">
        <f aca="false">RANK(Y71,$Y$5:$Y$172,0)</f>
        <v>94</v>
      </c>
      <c r="AA71" s="15" t="str">
        <f aca="false">IF(X71="No","Hold – resolve flag",IF(Z71&lt;=Weights!$C$18,"Tier 1 – Flagship launch",IF(OR(Z71&lt;=Weights!$C$19,AF71="Yes"),"Tier 2 – Priority",IF(Z71&lt;=Weights!$C$20,"Tier 3 – Standard rotation","Tier 4 – Reserve"))))</f>
        <v>Tier 4 – Reserve</v>
      </c>
      <c r="AB71" s="18" t="s">
        <v>591</v>
      </c>
      <c r="AC71" s="27" t="s">
        <v>592</v>
      </c>
      <c r="AD71" s="18" t="s">
        <v>216</v>
      </c>
      <c r="AE71" s="15" t="s">
        <v>217</v>
      </c>
      <c r="AF71" s="23" t="s">
        <v>126</v>
      </c>
      <c r="AG71" s="29" t="n">
        <f aca="false">IF(OR(Z71&lt;=Weights!$C$19,AF71="Yes"),Y71,Y71-5000)</f>
        <v>-4941.20071</v>
      </c>
      <c r="AH71" s="15" t="str">
        <f aca="false">IF(OR(Z71&lt;=Weights!$C$19,AF71="Yes"),RANK(AG71,$AG$5:$AG$172,0),"")</f>
        <v/>
      </c>
    </row>
    <row r="72" customFormat="false" ht="35.05" hidden="false" customHeight="false" outlineLevel="0" collapsed="false">
      <c r="A72" s="18" t="s">
        <v>593</v>
      </c>
      <c r="B72" s="27" t="s">
        <v>594</v>
      </c>
      <c r="C72" s="18" t="s">
        <v>595</v>
      </c>
      <c r="D72" s="18" t="s">
        <v>596</v>
      </c>
      <c r="E72" s="18" t="s">
        <v>597</v>
      </c>
      <c r="F72" s="18" t="s">
        <v>153</v>
      </c>
      <c r="G72" s="15" t="n">
        <v>2021</v>
      </c>
      <c r="H72" s="15" t="n">
        <v>14</v>
      </c>
      <c r="I72" s="23" t="n">
        <v>4</v>
      </c>
      <c r="J72" s="23" t="n">
        <v>5</v>
      </c>
      <c r="K72" s="23" t="n">
        <v>1</v>
      </c>
      <c r="L72" s="23" t="n">
        <v>5</v>
      </c>
      <c r="M72" s="23" t="n">
        <v>0</v>
      </c>
      <c r="N72" s="23" t="n">
        <v>0</v>
      </c>
      <c r="O72" s="23" t="n">
        <v>2</v>
      </c>
      <c r="P72" s="23" t="n">
        <v>2.2</v>
      </c>
      <c r="Q72" s="23" t="n">
        <v>4</v>
      </c>
      <c r="R72" s="23" t="n">
        <v>3</v>
      </c>
      <c r="S72" s="23" t="n">
        <v>2</v>
      </c>
      <c r="T72" s="23" t="n">
        <v>0</v>
      </c>
      <c r="U72" s="18" t="s">
        <v>126</v>
      </c>
      <c r="V72" s="18"/>
      <c r="W72" s="28" t="n">
        <f aca="false">MIN(100,MAX(0,ROUND(SUMPRODUCT(I72:S72,$I$3:$S$3)/SUM($I$3:$S$3)/5*100+T72,1)))</f>
        <v>56.1</v>
      </c>
      <c r="X72" s="15" t="str">
        <f aca="false">IF(U72="Yes","No","Yes")</f>
        <v>Yes</v>
      </c>
      <c r="Y72" s="29" t="n">
        <f aca="false">IF(X72="Yes",W72,W72-1000)-ROW()/100000</f>
        <v>56.09928</v>
      </c>
      <c r="Z72" s="15" t="n">
        <f aca="false">RANK(Y72,$Y$5:$Y$172,0)</f>
        <v>112</v>
      </c>
      <c r="AA72" s="15" t="str">
        <f aca="false">IF(X72="No","Hold – resolve flag",IF(Z72&lt;=Weights!$C$18,"Tier 1 – Flagship launch",IF(OR(Z72&lt;=Weights!$C$19,AF72="Yes"),"Tier 2 – Priority",IF(Z72&lt;=Weights!$C$20,"Tier 3 – Standard rotation","Tier 4 – Reserve"))))</f>
        <v>Tier 4 – Reserve</v>
      </c>
      <c r="AB72" s="18" t="s">
        <v>598</v>
      </c>
      <c r="AC72" s="27" t="s">
        <v>599</v>
      </c>
      <c r="AD72" s="18" t="s">
        <v>129</v>
      </c>
      <c r="AE72" s="15" t="s">
        <v>130</v>
      </c>
      <c r="AF72" s="23" t="s">
        <v>126</v>
      </c>
      <c r="AG72" s="29" t="n">
        <f aca="false">IF(OR(Z72&lt;=Weights!$C$19,AF72="Yes"),Y72,Y72-5000)</f>
        <v>-4943.90072</v>
      </c>
      <c r="AH72" s="15" t="str">
        <f aca="false">IF(OR(Z72&lt;=Weights!$C$19,AF72="Yes"),RANK(AG72,$AG$5:$AG$172,0),"")</f>
        <v/>
      </c>
    </row>
    <row r="73" customFormat="false" ht="35.05" hidden="false" customHeight="false" outlineLevel="0" collapsed="false">
      <c r="A73" s="18" t="s">
        <v>600</v>
      </c>
      <c r="B73" s="27" t="s">
        <v>601</v>
      </c>
      <c r="C73" s="18" t="s">
        <v>602</v>
      </c>
      <c r="D73" s="18" t="s">
        <v>603</v>
      </c>
      <c r="E73" s="18" t="s">
        <v>604</v>
      </c>
      <c r="F73" s="18" t="s">
        <v>183</v>
      </c>
      <c r="G73" s="15" t="n">
        <v>2022</v>
      </c>
      <c r="H73" s="15" t="n">
        <v>5</v>
      </c>
      <c r="I73" s="23" t="n">
        <v>2</v>
      </c>
      <c r="J73" s="23" t="n">
        <v>5</v>
      </c>
      <c r="K73" s="23" t="n">
        <v>3</v>
      </c>
      <c r="L73" s="23" t="n">
        <v>5</v>
      </c>
      <c r="M73" s="23" t="n">
        <v>3</v>
      </c>
      <c r="N73" s="23" t="n">
        <v>0</v>
      </c>
      <c r="O73" s="23" t="n">
        <v>3</v>
      </c>
      <c r="P73" s="23" t="n">
        <v>2.2</v>
      </c>
      <c r="Q73" s="23" t="n">
        <v>4</v>
      </c>
      <c r="R73" s="23" t="n">
        <v>3</v>
      </c>
      <c r="S73" s="23" t="n">
        <v>4</v>
      </c>
      <c r="T73" s="23" t="n">
        <v>0</v>
      </c>
      <c r="U73" s="18" t="s">
        <v>126</v>
      </c>
      <c r="V73" s="18"/>
      <c r="W73" s="28" t="n">
        <f aca="false">MIN(100,MAX(0,ROUND(SUMPRODUCT(I73:S73,$I$3:$S$3)/SUM($I$3:$S$3)/5*100+T73,1)))</f>
        <v>65.5</v>
      </c>
      <c r="X73" s="15" t="str">
        <f aca="false">IF(U73="Yes","No","Yes")</f>
        <v>Yes</v>
      </c>
      <c r="Y73" s="29" t="n">
        <f aca="false">IF(X73="Yes",W73,W73-1000)-ROW()/100000</f>
        <v>65.49927</v>
      </c>
      <c r="Z73" s="15" t="n">
        <f aca="false">RANK(Y73,$Y$5:$Y$172,0)</f>
        <v>41</v>
      </c>
      <c r="AA73" s="15" t="str">
        <f aca="false">IF(X73="No","Hold – resolve flag",IF(Z73&lt;=Weights!$C$18,"Tier 1 – Flagship launch",IF(OR(Z73&lt;=Weights!$C$19,AF73="Yes"),"Tier 2 – Priority",IF(Z73&lt;=Weights!$C$20,"Tier 3 – Standard rotation","Tier 4 – Reserve"))))</f>
        <v>Tier 3 – Standard rotation</v>
      </c>
      <c r="AB73" s="18" t="s">
        <v>605</v>
      </c>
      <c r="AC73" s="27" t="s">
        <v>606</v>
      </c>
      <c r="AD73" s="18" t="s">
        <v>129</v>
      </c>
      <c r="AE73" s="15" t="s">
        <v>130</v>
      </c>
      <c r="AF73" s="23" t="s">
        <v>126</v>
      </c>
      <c r="AG73" s="29" t="n">
        <f aca="false">IF(OR(Z73&lt;=Weights!$C$19,AF73="Yes"),Y73,Y73-5000)</f>
        <v>-4934.50073</v>
      </c>
      <c r="AH73" s="15" t="str">
        <f aca="false">IF(OR(Z73&lt;=Weights!$C$19,AF73="Yes"),RANK(AG73,$AG$5:$AG$172,0),"")</f>
        <v/>
      </c>
    </row>
    <row r="74" customFormat="false" ht="35.05" hidden="false" customHeight="false" outlineLevel="0" collapsed="false">
      <c r="A74" s="18" t="s">
        <v>607</v>
      </c>
      <c r="B74" s="27" t="s">
        <v>608</v>
      </c>
      <c r="C74" s="18" t="s">
        <v>609</v>
      </c>
      <c r="D74" s="18" t="s">
        <v>610</v>
      </c>
      <c r="E74" s="18" t="s">
        <v>611</v>
      </c>
      <c r="F74" s="18" t="s">
        <v>153</v>
      </c>
      <c r="G74" s="15" t="n">
        <v>2023</v>
      </c>
      <c r="H74" s="15" t="n">
        <v>1</v>
      </c>
      <c r="I74" s="23" t="n">
        <v>5</v>
      </c>
      <c r="J74" s="23" t="n">
        <v>2</v>
      </c>
      <c r="K74" s="23" t="n">
        <v>5</v>
      </c>
      <c r="L74" s="23" t="n">
        <v>5</v>
      </c>
      <c r="M74" s="23" t="n">
        <v>5</v>
      </c>
      <c r="N74" s="23" t="n">
        <v>3</v>
      </c>
      <c r="O74" s="23" t="n">
        <v>3</v>
      </c>
      <c r="P74" s="23" t="n">
        <v>2.2</v>
      </c>
      <c r="Q74" s="23" t="n">
        <v>4.3</v>
      </c>
      <c r="R74" s="23" t="n">
        <v>3.5</v>
      </c>
      <c r="S74" s="23" t="n">
        <v>3</v>
      </c>
      <c r="T74" s="23" t="n">
        <v>0</v>
      </c>
      <c r="U74" s="18" t="s">
        <v>126</v>
      </c>
      <c r="V74" s="18"/>
      <c r="W74" s="28" t="n">
        <f aca="false">MIN(100,MAX(0,ROUND(SUMPRODUCT(I74:S74,$I$3:$S$3)/SUM($I$3:$S$3)/5*100+T74,1)))</f>
        <v>73.1</v>
      </c>
      <c r="X74" s="15" t="str">
        <f aca="false">IF(U74="Yes","No","Yes")</f>
        <v>Yes</v>
      </c>
      <c r="Y74" s="29" t="n">
        <f aca="false">IF(X74="Yes",W74,W74-1000)-ROW()/100000</f>
        <v>73.09926</v>
      </c>
      <c r="Z74" s="15" t="n">
        <f aca="false">RANK(Y74,$Y$5:$Y$172,0)</f>
        <v>9</v>
      </c>
      <c r="AA74" s="15" t="str">
        <f aca="false">IF(X74="No","Hold – resolve flag",IF(Z74&lt;=Weights!$C$18,"Tier 1 – Flagship launch",IF(OR(Z74&lt;=Weights!$C$19,AF74="Yes"),"Tier 2 – Priority",IF(Z74&lt;=Weights!$C$20,"Tier 3 – Standard rotation","Tier 4 – Reserve"))))</f>
        <v>Tier 1 – Flagship launch</v>
      </c>
      <c r="AB74" s="18" t="s">
        <v>612</v>
      </c>
      <c r="AC74" s="27" t="s">
        <v>613</v>
      </c>
      <c r="AD74" s="18" t="s">
        <v>216</v>
      </c>
      <c r="AE74" s="15" t="s">
        <v>217</v>
      </c>
      <c r="AF74" s="23" t="s">
        <v>131</v>
      </c>
      <c r="AG74" s="29" t="n">
        <f aca="false">IF(OR(Z74&lt;=Weights!$C$19,AF74="Yes"),Y74,Y74-5000)</f>
        <v>73.09926</v>
      </c>
      <c r="AH74" s="15" t="n">
        <f aca="false">IF(OR(Z74&lt;=Weights!$C$19,AF74="Yes"),RANK(AG74,$AG$5:$AG$172,0),"")</f>
        <v>9</v>
      </c>
    </row>
    <row r="75" customFormat="false" ht="35.05" hidden="false" customHeight="false" outlineLevel="0" collapsed="false">
      <c r="A75" s="18" t="s">
        <v>614</v>
      </c>
      <c r="B75" s="27" t="s">
        <v>615</v>
      </c>
      <c r="C75" s="18" t="s">
        <v>616</v>
      </c>
      <c r="D75" s="18" t="s">
        <v>617</v>
      </c>
      <c r="E75" s="18" t="s">
        <v>618</v>
      </c>
      <c r="F75" s="18" t="s">
        <v>153</v>
      </c>
      <c r="G75" s="15" t="n">
        <v>2024</v>
      </c>
      <c r="H75" s="15" t="n">
        <v>5</v>
      </c>
      <c r="I75" s="23" t="n">
        <v>2</v>
      </c>
      <c r="J75" s="23" t="n">
        <v>4</v>
      </c>
      <c r="K75" s="23" t="n">
        <v>3</v>
      </c>
      <c r="L75" s="23" t="n">
        <v>5</v>
      </c>
      <c r="M75" s="23" t="n">
        <v>5</v>
      </c>
      <c r="N75" s="23" t="n">
        <v>0</v>
      </c>
      <c r="O75" s="23" t="n">
        <v>3</v>
      </c>
      <c r="P75" s="23" t="n">
        <v>3.5</v>
      </c>
      <c r="Q75" s="23" t="n">
        <v>5</v>
      </c>
      <c r="R75" s="23" t="n">
        <v>3</v>
      </c>
      <c r="S75" s="23" t="n">
        <v>4</v>
      </c>
      <c r="T75" s="23" t="n">
        <v>0</v>
      </c>
      <c r="U75" s="18" t="s">
        <v>126</v>
      </c>
      <c r="V75" s="18"/>
      <c r="W75" s="28" t="n">
        <f aca="false">MIN(100,MAX(0,ROUND(SUMPRODUCT(I75:S75,$I$3:$S$3)/SUM($I$3:$S$3)/5*100+T75,1)))</f>
        <v>69.6</v>
      </c>
      <c r="X75" s="15" t="str">
        <f aca="false">IF(U75="Yes","No","Yes")</f>
        <v>Yes</v>
      </c>
      <c r="Y75" s="29" t="n">
        <f aca="false">IF(X75="Yes",W75,W75-1000)-ROW()/100000</f>
        <v>69.59925</v>
      </c>
      <c r="Z75" s="15" t="n">
        <f aca="false">RANK(Y75,$Y$5:$Y$172,0)</f>
        <v>19</v>
      </c>
      <c r="AA75" s="15" t="str">
        <f aca="false">IF(X75="No","Hold – resolve flag",IF(Z75&lt;=Weights!$C$18,"Tier 1 – Flagship launch",IF(OR(Z75&lt;=Weights!$C$19,AF75="Yes"),"Tier 2 – Priority",IF(Z75&lt;=Weights!$C$20,"Tier 3 – Standard rotation","Tier 4 – Reserve"))))</f>
        <v>Tier 2 – Priority</v>
      </c>
      <c r="AB75" s="18" t="s">
        <v>619</v>
      </c>
      <c r="AC75" s="27" t="s">
        <v>620</v>
      </c>
      <c r="AD75" s="18" t="s">
        <v>129</v>
      </c>
      <c r="AE75" s="15" t="s">
        <v>130</v>
      </c>
      <c r="AF75" s="23" t="s">
        <v>126</v>
      </c>
      <c r="AG75" s="29" t="n">
        <f aca="false">IF(OR(Z75&lt;=Weights!$C$19,AF75="Yes"),Y75,Y75-5000)</f>
        <v>69.59925</v>
      </c>
      <c r="AH75" s="15" t="n">
        <f aca="false">IF(OR(Z75&lt;=Weights!$C$19,AF75="Yes"),RANK(AG75,$AG$5:$AG$172,0),"")</f>
        <v>19</v>
      </c>
    </row>
    <row r="76" customFormat="false" ht="35.05" hidden="false" customHeight="false" outlineLevel="0" collapsed="false">
      <c r="A76" s="18" t="s">
        <v>621</v>
      </c>
      <c r="B76" s="27" t="s">
        <v>622</v>
      </c>
      <c r="C76" s="18" t="s">
        <v>623</v>
      </c>
      <c r="D76" s="18" t="s">
        <v>144</v>
      </c>
      <c r="E76" s="18" t="s">
        <v>624</v>
      </c>
      <c r="F76" s="18" t="s">
        <v>153</v>
      </c>
      <c r="G76" s="15" t="n">
        <v>2024</v>
      </c>
      <c r="H76" s="15" t="n">
        <v>3</v>
      </c>
      <c r="I76" s="23" t="n">
        <v>2</v>
      </c>
      <c r="J76" s="23" t="n">
        <v>3</v>
      </c>
      <c r="K76" s="23" t="n">
        <v>4</v>
      </c>
      <c r="L76" s="23" t="n">
        <v>4</v>
      </c>
      <c r="M76" s="23" t="n">
        <v>0</v>
      </c>
      <c r="N76" s="23" t="n">
        <v>0</v>
      </c>
      <c r="O76" s="23" t="n">
        <v>2</v>
      </c>
      <c r="P76" s="23" t="n">
        <v>2.2</v>
      </c>
      <c r="Q76" s="23" t="n">
        <v>3.4</v>
      </c>
      <c r="R76" s="23" t="n">
        <v>3</v>
      </c>
      <c r="S76" s="23" t="n">
        <v>2</v>
      </c>
      <c r="T76" s="23" t="n">
        <v>0</v>
      </c>
      <c r="U76" s="18" t="s">
        <v>126</v>
      </c>
      <c r="V76" s="18"/>
      <c r="W76" s="28" t="n">
        <f aca="false">MIN(100,MAX(0,ROUND(SUMPRODUCT(I76:S76,$I$3:$S$3)/SUM($I$3:$S$3)/5*100+T76,1)))</f>
        <v>50</v>
      </c>
      <c r="X76" s="15" t="str">
        <f aca="false">IF(U76="Yes","No","Yes")</f>
        <v>Yes</v>
      </c>
      <c r="Y76" s="29" t="n">
        <f aca="false">IF(X76="Yes",W76,W76-1000)-ROW()/100000</f>
        <v>49.99924</v>
      </c>
      <c r="Z76" s="15" t="n">
        <f aca="false">RANK(Y76,$Y$5:$Y$172,0)</f>
        <v>144</v>
      </c>
      <c r="AA76" s="15" t="str">
        <f aca="false">IF(X76="No","Hold – resolve flag",IF(Z76&lt;=Weights!$C$18,"Tier 1 – Flagship launch",IF(OR(Z76&lt;=Weights!$C$19,AF76="Yes"),"Tier 2 – Priority",IF(Z76&lt;=Weights!$C$20,"Tier 3 – Standard rotation","Tier 4 – Reserve"))))</f>
        <v>Tier 4 – Reserve</v>
      </c>
      <c r="AB76" s="18" t="s">
        <v>625</v>
      </c>
      <c r="AC76" s="27" t="s">
        <v>626</v>
      </c>
      <c r="AD76" s="18" t="s">
        <v>500</v>
      </c>
      <c r="AE76" s="15" t="s">
        <v>130</v>
      </c>
      <c r="AF76" s="23" t="s">
        <v>126</v>
      </c>
      <c r="AG76" s="29" t="n">
        <f aca="false">IF(OR(Z76&lt;=Weights!$C$19,AF76="Yes"),Y76,Y76-5000)</f>
        <v>-4950.00076</v>
      </c>
      <c r="AH76" s="15" t="str">
        <f aca="false">IF(OR(Z76&lt;=Weights!$C$19,AF76="Yes"),RANK(AG76,$AG$5:$AG$172,0),"")</f>
        <v/>
      </c>
    </row>
    <row r="77" customFormat="false" ht="35.05" hidden="false" customHeight="false" outlineLevel="0" collapsed="false">
      <c r="A77" s="18" t="s">
        <v>627</v>
      </c>
      <c r="B77" s="27" t="s">
        <v>628</v>
      </c>
      <c r="C77" s="18" t="s">
        <v>629</v>
      </c>
      <c r="D77" s="18" t="s">
        <v>630</v>
      </c>
      <c r="E77" s="18" t="s">
        <v>631</v>
      </c>
      <c r="F77" s="18" t="s">
        <v>153</v>
      </c>
      <c r="G77" s="15" t="n">
        <v>2024</v>
      </c>
      <c r="H77" s="15" t="n">
        <v>10</v>
      </c>
      <c r="I77" s="23" t="n">
        <v>2</v>
      </c>
      <c r="J77" s="23" t="n">
        <v>4</v>
      </c>
      <c r="K77" s="23" t="n">
        <v>2</v>
      </c>
      <c r="L77" s="23" t="n">
        <v>5</v>
      </c>
      <c r="M77" s="23" t="n">
        <v>0</v>
      </c>
      <c r="N77" s="23" t="n">
        <v>5</v>
      </c>
      <c r="O77" s="23" t="n">
        <v>2</v>
      </c>
      <c r="P77" s="23" t="n">
        <v>2.2</v>
      </c>
      <c r="Q77" s="23" t="n">
        <v>4.3</v>
      </c>
      <c r="R77" s="23" t="n">
        <v>3.5</v>
      </c>
      <c r="S77" s="23" t="n">
        <v>3</v>
      </c>
      <c r="T77" s="23" t="n">
        <v>0</v>
      </c>
      <c r="U77" s="18" t="s">
        <v>126</v>
      </c>
      <c r="V77" s="18"/>
      <c r="W77" s="28" t="n">
        <f aca="false">MIN(100,MAX(0,ROUND(SUMPRODUCT(I77:S77,$I$3:$S$3)/SUM($I$3:$S$3)/5*100+T77,1)))</f>
        <v>61.7</v>
      </c>
      <c r="X77" s="15" t="str">
        <f aca="false">IF(U77="Yes","No","Yes")</f>
        <v>Yes</v>
      </c>
      <c r="Y77" s="29" t="n">
        <f aca="false">IF(X77="Yes",W77,W77-1000)-ROW()/100000</f>
        <v>61.69923</v>
      </c>
      <c r="Z77" s="15" t="n">
        <f aca="false">RANK(Y77,$Y$5:$Y$172,0)</f>
        <v>68</v>
      </c>
      <c r="AA77" s="15" t="str">
        <f aca="false">IF(X77="No","Hold – resolve flag",IF(Z77&lt;=Weights!$C$18,"Tier 1 – Flagship launch",IF(OR(Z77&lt;=Weights!$C$19,AF77="Yes"),"Tier 2 – Priority",IF(Z77&lt;=Weights!$C$20,"Tier 3 – Standard rotation","Tier 4 – Reserve"))))</f>
        <v>Tier 2 – Priority</v>
      </c>
      <c r="AB77" s="18" t="s">
        <v>632</v>
      </c>
      <c r="AC77" s="27" t="s">
        <v>633</v>
      </c>
      <c r="AD77" s="18" t="s">
        <v>216</v>
      </c>
      <c r="AE77" s="15" t="s">
        <v>217</v>
      </c>
      <c r="AF77" s="23" t="s">
        <v>131</v>
      </c>
      <c r="AG77" s="29" t="n">
        <f aca="false">IF(OR(Z77&lt;=Weights!$C$19,AF77="Yes"),Y77,Y77-5000)</f>
        <v>61.69923</v>
      </c>
      <c r="AH77" s="15" t="n">
        <f aca="false">IF(OR(Z77&lt;=Weights!$C$19,AF77="Yes"),RANK(AG77,$AG$5:$AG$172,0),"")</f>
        <v>44</v>
      </c>
    </row>
    <row r="78" customFormat="false" ht="35.05" hidden="false" customHeight="false" outlineLevel="0" collapsed="false">
      <c r="A78" s="18" t="s">
        <v>634</v>
      </c>
      <c r="B78" s="27" t="s">
        <v>635</v>
      </c>
      <c r="C78" s="18" t="s">
        <v>636</v>
      </c>
      <c r="D78" s="18" t="s">
        <v>637</v>
      </c>
      <c r="E78" s="18" t="s">
        <v>638</v>
      </c>
      <c r="F78" s="18" t="s">
        <v>263</v>
      </c>
      <c r="G78" s="15" t="n">
        <v>2025</v>
      </c>
      <c r="H78" s="15" t="n">
        <v>3</v>
      </c>
      <c r="I78" s="23" t="n">
        <v>2</v>
      </c>
      <c r="J78" s="23" t="n">
        <v>2</v>
      </c>
      <c r="K78" s="23" t="n">
        <v>4</v>
      </c>
      <c r="L78" s="23" t="n">
        <v>5</v>
      </c>
      <c r="M78" s="23" t="n">
        <v>0</v>
      </c>
      <c r="N78" s="23" t="n">
        <v>0</v>
      </c>
      <c r="O78" s="23" t="n">
        <v>2</v>
      </c>
      <c r="P78" s="23" t="n">
        <v>2.2</v>
      </c>
      <c r="Q78" s="23" t="n">
        <v>2.4</v>
      </c>
      <c r="R78" s="23" t="n">
        <v>3</v>
      </c>
      <c r="S78" s="23" t="n">
        <v>4</v>
      </c>
      <c r="T78" s="23" t="n">
        <v>0</v>
      </c>
      <c r="U78" s="18" t="s">
        <v>126</v>
      </c>
      <c r="V78" s="18"/>
      <c r="W78" s="28" t="n">
        <f aca="false">MIN(100,MAX(0,ROUND(SUMPRODUCT(I78:S78,$I$3:$S$3)/SUM($I$3:$S$3)/5*100+T78,1)))</f>
        <v>51.2</v>
      </c>
      <c r="X78" s="15" t="str">
        <f aca="false">IF(U78="Yes","No","Yes")</f>
        <v>Yes</v>
      </c>
      <c r="Y78" s="29" t="n">
        <f aca="false">IF(X78="Yes",W78,W78-1000)-ROW()/100000</f>
        <v>51.19922</v>
      </c>
      <c r="Z78" s="15" t="n">
        <f aca="false">RANK(Y78,$Y$5:$Y$172,0)</f>
        <v>139</v>
      </c>
      <c r="AA78" s="15" t="str">
        <f aca="false">IF(X78="No","Hold – resolve flag",IF(Z78&lt;=Weights!$C$18,"Tier 1 – Flagship launch",IF(OR(Z78&lt;=Weights!$C$19,AF78="Yes"),"Tier 2 – Priority",IF(Z78&lt;=Weights!$C$20,"Tier 3 – Standard rotation","Tier 4 – Reserve"))))</f>
        <v>Tier 4 – Reserve</v>
      </c>
      <c r="AB78" s="18" t="s">
        <v>639</v>
      </c>
      <c r="AC78" s="27" t="s">
        <v>640</v>
      </c>
      <c r="AD78" s="18" t="s">
        <v>334</v>
      </c>
      <c r="AE78" s="15" t="s">
        <v>130</v>
      </c>
      <c r="AF78" s="23" t="s">
        <v>126</v>
      </c>
      <c r="AG78" s="29" t="n">
        <f aca="false">IF(OR(Z78&lt;=Weights!$C$19,AF78="Yes"),Y78,Y78-5000)</f>
        <v>-4948.80078</v>
      </c>
      <c r="AH78" s="15" t="str">
        <f aca="false">IF(OR(Z78&lt;=Weights!$C$19,AF78="Yes"),RANK(AG78,$AG$5:$AG$172,0),"")</f>
        <v/>
      </c>
    </row>
    <row r="79" customFormat="false" ht="35.05" hidden="false" customHeight="false" outlineLevel="0" collapsed="false">
      <c r="A79" s="18" t="s">
        <v>641</v>
      </c>
      <c r="B79" s="27" t="s">
        <v>642</v>
      </c>
      <c r="C79" s="18" t="s">
        <v>643</v>
      </c>
      <c r="D79" s="18" t="s">
        <v>144</v>
      </c>
      <c r="E79" s="18" t="s">
        <v>644</v>
      </c>
      <c r="F79" s="18" t="s">
        <v>645</v>
      </c>
      <c r="G79" s="15" t="n">
        <v>2025</v>
      </c>
      <c r="H79" s="15" t="n">
        <v>2</v>
      </c>
      <c r="I79" s="23" t="n">
        <v>4</v>
      </c>
      <c r="J79" s="23" t="n">
        <v>3</v>
      </c>
      <c r="K79" s="23" t="n">
        <v>5</v>
      </c>
      <c r="L79" s="23" t="n">
        <v>4</v>
      </c>
      <c r="M79" s="23" t="n">
        <v>0</v>
      </c>
      <c r="N79" s="23" t="n">
        <v>0</v>
      </c>
      <c r="O79" s="23" t="n">
        <v>2</v>
      </c>
      <c r="P79" s="23" t="n">
        <v>2.2</v>
      </c>
      <c r="Q79" s="23" t="n">
        <v>4.8</v>
      </c>
      <c r="R79" s="23" t="n">
        <v>3</v>
      </c>
      <c r="S79" s="23" t="n">
        <v>5</v>
      </c>
      <c r="T79" s="23" t="n">
        <v>0</v>
      </c>
      <c r="U79" s="18" t="s">
        <v>126</v>
      </c>
      <c r="V79" s="18"/>
      <c r="W79" s="28" t="n">
        <f aca="false">MIN(100,MAX(0,ROUND(SUMPRODUCT(I79:S79,$I$3:$S$3)/SUM($I$3:$S$3)/5*100+T79,1)))</f>
        <v>61.8</v>
      </c>
      <c r="X79" s="15" t="str">
        <f aca="false">IF(U79="Yes","No","Yes")</f>
        <v>Yes</v>
      </c>
      <c r="Y79" s="29" t="n">
        <f aca="false">IF(X79="Yes",W79,W79-1000)-ROW()/100000</f>
        <v>61.79921</v>
      </c>
      <c r="Z79" s="15" t="n">
        <f aca="false">RANK(Y79,$Y$5:$Y$172,0)</f>
        <v>67</v>
      </c>
      <c r="AA79" s="15" t="str">
        <f aca="false">IF(X79="No","Hold – resolve flag",IF(Z79&lt;=Weights!$C$18,"Tier 1 – Flagship launch",IF(OR(Z79&lt;=Weights!$C$19,AF79="Yes"),"Tier 2 – Priority",IF(Z79&lt;=Weights!$C$20,"Tier 3 – Standard rotation","Tier 4 – Reserve"))))</f>
        <v>Tier 3 – Standard rotation</v>
      </c>
      <c r="AB79" s="18" t="s">
        <v>646</v>
      </c>
      <c r="AC79" s="27" t="s">
        <v>647</v>
      </c>
      <c r="AD79" s="18" t="s">
        <v>129</v>
      </c>
      <c r="AE79" s="15" t="s">
        <v>130</v>
      </c>
      <c r="AF79" s="23" t="s">
        <v>126</v>
      </c>
      <c r="AG79" s="29" t="n">
        <f aca="false">IF(OR(Z79&lt;=Weights!$C$19,AF79="Yes"),Y79,Y79-5000)</f>
        <v>-4938.20079</v>
      </c>
      <c r="AH79" s="15" t="str">
        <f aca="false">IF(OR(Z79&lt;=Weights!$C$19,AF79="Yes"),RANK(AG79,$AG$5:$AG$172,0),"")</f>
        <v/>
      </c>
    </row>
    <row r="80" customFormat="false" ht="35.05" hidden="false" customHeight="false" outlineLevel="0" collapsed="false">
      <c r="A80" s="18" t="s">
        <v>648</v>
      </c>
      <c r="B80" s="27" t="s">
        <v>649</v>
      </c>
      <c r="C80" s="18" t="s">
        <v>650</v>
      </c>
      <c r="D80" s="18" t="s">
        <v>651</v>
      </c>
      <c r="E80" s="18" t="s">
        <v>652</v>
      </c>
      <c r="F80" s="18" t="s">
        <v>645</v>
      </c>
      <c r="G80" s="15" t="n">
        <v>2025</v>
      </c>
      <c r="H80" s="15" t="n">
        <v>5</v>
      </c>
      <c r="I80" s="23" t="n">
        <v>2</v>
      </c>
      <c r="J80" s="23" t="n">
        <v>4</v>
      </c>
      <c r="K80" s="23" t="n">
        <v>3</v>
      </c>
      <c r="L80" s="23" t="n">
        <v>5</v>
      </c>
      <c r="M80" s="23" t="n">
        <v>0</v>
      </c>
      <c r="N80" s="23" t="n">
        <v>0</v>
      </c>
      <c r="O80" s="23" t="n">
        <v>2</v>
      </c>
      <c r="P80" s="23" t="n">
        <v>3.5</v>
      </c>
      <c r="Q80" s="23" t="n">
        <v>5</v>
      </c>
      <c r="R80" s="23" t="n">
        <v>3.8</v>
      </c>
      <c r="S80" s="23" t="n">
        <v>5</v>
      </c>
      <c r="T80" s="23" t="n">
        <v>0</v>
      </c>
      <c r="U80" s="18" t="s">
        <v>126</v>
      </c>
      <c r="V80" s="18"/>
      <c r="W80" s="28" t="n">
        <f aca="false">MIN(100,MAX(0,ROUND(SUMPRODUCT(I80:S80,$I$3:$S$3)/SUM($I$3:$S$3)/5*100+T80,1)))</f>
        <v>64.6</v>
      </c>
      <c r="X80" s="15" t="str">
        <f aca="false">IF(U80="Yes","No","Yes")</f>
        <v>Yes</v>
      </c>
      <c r="Y80" s="29" t="n">
        <f aca="false">IF(X80="Yes",W80,W80-1000)-ROW()/100000</f>
        <v>64.5992</v>
      </c>
      <c r="Z80" s="15" t="n">
        <f aca="false">RANK(Y80,$Y$5:$Y$172,0)</f>
        <v>49</v>
      </c>
      <c r="AA80" s="15" t="str">
        <f aca="false">IF(X80="No","Hold – resolve flag",IF(Z80&lt;=Weights!$C$18,"Tier 1 – Flagship launch",IF(OR(Z80&lt;=Weights!$C$19,AF80="Yes"),"Tier 2 – Priority",IF(Z80&lt;=Weights!$C$20,"Tier 3 – Standard rotation","Tier 4 – Reserve"))))</f>
        <v>Tier 2 – Priority</v>
      </c>
      <c r="AB80" s="18" t="s">
        <v>653</v>
      </c>
      <c r="AC80" s="27" t="s">
        <v>654</v>
      </c>
      <c r="AD80" s="18" t="s">
        <v>129</v>
      </c>
      <c r="AE80" s="15" t="s">
        <v>130</v>
      </c>
      <c r="AF80" s="23" t="s">
        <v>131</v>
      </c>
      <c r="AG80" s="29" t="n">
        <f aca="false">IF(OR(Z80&lt;=Weights!$C$19,AF80="Yes"),Y80,Y80-5000)</f>
        <v>64.5992</v>
      </c>
      <c r="AH80" s="15" t="n">
        <f aca="false">IF(OR(Z80&lt;=Weights!$C$19,AF80="Yes"),RANK(AG80,$AG$5:$AG$172,0),"")</f>
        <v>39</v>
      </c>
    </row>
    <row r="81" customFormat="false" ht="35.05" hidden="false" customHeight="false" outlineLevel="0" collapsed="false">
      <c r="A81" s="18" t="s">
        <v>655</v>
      </c>
      <c r="B81" s="27" t="s">
        <v>656</v>
      </c>
      <c r="C81" s="18" t="s">
        <v>657</v>
      </c>
      <c r="D81" s="18" t="s">
        <v>658</v>
      </c>
      <c r="E81" s="18" t="s">
        <v>659</v>
      </c>
      <c r="F81" s="18" t="s">
        <v>645</v>
      </c>
      <c r="G81" s="15" t="n">
        <v>2025</v>
      </c>
      <c r="H81" s="15" t="n">
        <v>6</v>
      </c>
      <c r="I81" s="23" t="n">
        <v>2</v>
      </c>
      <c r="J81" s="23" t="n">
        <v>5</v>
      </c>
      <c r="K81" s="23" t="n">
        <v>3</v>
      </c>
      <c r="L81" s="23" t="n">
        <v>5</v>
      </c>
      <c r="M81" s="23" t="n">
        <v>0</v>
      </c>
      <c r="N81" s="23" t="n">
        <v>3</v>
      </c>
      <c r="O81" s="23" t="n">
        <v>2</v>
      </c>
      <c r="P81" s="23" t="n">
        <v>2.2</v>
      </c>
      <c r="Q81" s="23" t="n">
        <v>4.3</v>
      </c>
      <c r="R81" s="23" t="n">
        <v>3.5</v>
      </c>
      <c r="S81" s="23" t="n">
        <v>5</v>
      </c>
      <c r="T81" s="23" t="n">
        <v>0</v>
      </c>
      <c r="U81" s="18" t="s">
        <v>126</v>
      </c>
      <c r="V81" s="18"/>
      <c r="W81" s="28" t="n">
        <f aca="false">MIN(100,MAX(0,ROUND(SUMPRODUCT(I81:S81,$I$3:$S$3)/SUM($I$3:$S$3)/5*100+T81,1)))</f>
        <v>66.5</v>
      </c>
      <c r="X81" s="15" t="str">
        <f aca="false">IF(U81="Yes","No","Yes")</f>
        <v>Yes</v>
      </c>
      <c r="Y81" s="29" t="n">
        <f aca="false">IF(X81="Yes",W81,W81-1000)-ROW()/100000</f>
        <v>66.49919</v>
      </c>
      <c r="Z81" s="15" t="n">
        <f aca="false">RANK(Y81,$Y$5:$Y$172,0)</f>
        <v>34</v>
      </c>
      <c r="AA81" s="15" t="str">
        <f aca="false">IF(X81="No","Hold – resolve flag",IF(Z81&lt;=Weights!$C$18,"Tier 1 – Flagship launch",IF(OR(Z81&lt;=Weights!$C$19,AF81="Yes"),"Tier 2 – Priority",IF(Z81&lt;=Weights!$C$20,"Tier 3 – Standard rotation","Tier 4 – Reserve"))))</f>
        <v>Tier 3 – Standard rotation</v>
      </c>
      <c r="AB81" s="18" t="s">
        <v>660</v>
      </c>
      <c r="AC81" s="27" t="s">
        <v>661</v>
      </c>
      <c r="AD81" s="18" t="s">
        <v>216</v>
      </c>
      <c r="AE81" s="15" t="s">
        <v>217</v>
      </c>
      <c r="AF81" s="23" t="s">
        <v>126</v>
      </c>
      <c r="AG81" s="29" t="n">
        <f aca="false">IF(OR(Z81&lt;=Weights!$C$19,AF81="Yes"),Y81,Y81-5000)</f>
        <v>-4933.50081</v>
      </c>
      <c r="AH81" s="15" t="str">
        <f aca="false">IF(OR(Z81&lt;=Weights!$C$19,AF81="Yes"),RANK(AG81,$AG$5:$AG$172,0),"")</f>
        <v/>
      </c>
    </row>
    <row r="82" customFormat="false" ht="35.05" hidden="false" customHeight="false" outlineLevel="0" collapsed="false">
      <c r="A82" s="18" t="s">
        <v>662</v>
      </c>
      <c r="B82" s="27" t="s">
        <v>663</v>
      </c>
      <c r="C82" s="18" t="s">
        <v>664</v>
      </c>
      <c r="D82" s="18" t="s">
        <v>144</v>
      </c>
      <c r="E82" s="18" t="s">
        <v>665</v>
      </c>
      <c r="F82" s="18" t="s">
        <v>383</v>
      </c>
      <c r="G82" s="15" t="n">
        <v>2025</v>
      </c>
      <c r="H82" s="15" t="s">
        <v>138</v>
      </c>
      <c r="I82" s="23" t="n">
        <v>4</v>
      </c>
      <c r="J82" s="23" t="n">
        <v>3</v>
      </c>
      <c r="K82" s="23" t="n">
        <v>2</v>
      </c>
      <c r="L82" s="23" t="n">
        <v>4</v>
      </c>
      <c r="M82" s="23" t="n">
        <v>4</v>
      </c>
      <c r="N82" s="23" t="n">
        <v>0</v>
      </c>
      <c r="O82" s="23" t="n">
        <v>2</v>
      </c>
      <c r="P82" s="23" t="n">
        <v>2.2</v>
      </c>
      <c r="Q82" s="23" t="n">
        <v>4.3</v>
      </c>
      <c r="R82" s="23" t="n">
        <v>3.5</v>
      </c>
      <c r="S82" s="23" t="n">
        <v>3</v>
      </c>
      <c r="T82" s="23" t="n">
        <v>0</v>
      </c>
      <c r="U82" s="18" t="s">
        <v>126</v>
      </c>
      <c r="V82" s="18"/>
      <c r="W82" s="28" t="n">
        <f aca="false">MIN(100,MAX(0,ROUND(SUMPRODUCT(I82:S82,$I$3:$S$3)/SUM($I$3:$S$3)/5*100+T82,1)))</f>
        <v>60.1</v>
      </c>
      <c r="X82" s="15" t="str">
        <f aca="false">IF(U82="Yes","No","Yes")</f>
        <v>Yes</v>
      </c>
      <c r="Y82" s="29" t="n">
        <f aca="false">IF(X82="Yes",W82,W82-1000)-ROW()/100000</f>
        <v>60.09918</v>
      </c>
      <c r="Z82" s="15" t="n">
        <f aca="false">RANK(Y82,$Y$5:$Y$172,0)</f>
        <v>79</v>
      </c>
      <c r="AA82" s="15" t="str">
        <f aca="false">IF(X82="No","Hold – resolve flag",IF(Z82&lt;=Weights!$C$18,"Tier 1 – Flagship launch",IF(OR(Z82&lt;=Weights!$C$19,AF82="Yes"),"Tier 2 – Priority",IF(Z82&lt;=Weights!$C$20,"Tier 3 – Standard rotation","Tier 4 – Reserve"))))</f>
        <v>Tier 3 – Standard rotation</v>
      </c>
      <c r="AB82" s="18" t="s">
        <v>666</v>
      </c>
      <c r="AC82" s="27" t="s">
        <v>667</v>
      </c>
      <c r="AD82" s="18" t="s">
        <v>216</v>
      </c>
      <c r="AE82" s="15" t="s">
        <v>217</v>
      </c>
      <c r="AF82" s="23" t="s">
        <v>126</v>
      </c>
      <c r="AG82" s="29" t="n">
        <f aca="false">IF(OR(Z82&lt;=Weights!$C$19,AF82="Yes"),Y82,Y82-5000)</f>
        <v>-4939.90082</v>
      </c>
      <c r="AH82" s="15" t="str">
        <f aca="false">IF(OR(Z82&lt;=Weights!$C$19,AF82="Yes"),RANK(AG82,$AG$5:$AG$172,0),"")</f>
        <v/>
      </c>
    </row>
    <row r="83" customFormat="false" ht="35.05" hidden="false" customHeight="false" outlineLevel="0" collapsed="false">
      <c r="A83" s="18" t="s">
        <v>668</v>
      </c>
      <c r="B83" s="27" t="s">
        <v>669</v>
      </c>
      <c r="C83" s="18" t="s">
        <v>670</v>
      </c>
      <c r="D83" s="18" t="s">
        <v>478</v>
      </c>
      <c r="E83" s="18" t="s">
        <v>671</v>
      </c>
      <c r="F83" s="18" t="s">
        <v>672</v>
      </c>
      <c r="G83" s="15" t="n">
        <v>2026</v>
      </c>
      <c r="H83" s="15" t="s">
        <v>138</v>
      </c>
      <c r="I83" s="23" t="n">
        <v>2</v>
      </c>
      <c r="J83" s="23" t="n">
        <v>5</v>
      </c>
      <c r="K83" s="23" t="n">
        <v>2</v>
      </c>
      <c r="L83" s="23" t="n">
        <v>5</v>
      </c>
      <c r="M83" s="23" t="n">
        <v>0</v>
      </c>
      <c r="N83" s="23" t="n">
        <v>0</v>
      </c>
      <c r="O83" s="23" t="n">
        <v>4</v>
      </c>
      <c r="P83" s="23" t="n">
        <v>2.2</v>
      </c>
      <c r="Q83" s="23" t="n">
        <v>4.3</v>
      </c>
      <c r="R83" s="23" t="n">
        <v>2</v>
      </c>
      <c r="S83" s="23" t="n">
        <v>5</v>
      </c>
      <c r="T83" s="23" t="n">
        <v>0</v>
      </c>
      <c r="U83" s="18" t="s">
        <v>126</v>
      </c>
      <c r="V83" s="18"/>
      <c r="W83" s="28" t="n">
        <f aca="false">MIN(100,MAX(0,ROUND(SUMPRODUCT(I83:S83,$I$3:$S$3)/SUM($I$3:$S$3)/5*100+T83,1)))</f>
        <v>60.8</v>
      </c>
      <c r="X83" s="15" t="str">
        <f aca="false">IF(U83="Yes","No","Yes")</f>
        <v>Yes</v>
      </c>
      <c r="Y83" s="29" t="n">
        <f aca="false">IF(X83="Yes",W83,W83-1000)-ROW()/100000</f>
        <v>60.79917</v>
      </c>
      <c r="Z83" s="15" t="n">
        <f aca="false">RANK(Y83,$Y$5:$Y$172,0)</f>
        <v>75</v>
      </c>
      <c r="AA83" s="15" t="str">
        <f aca="false">IF(X83="No","Hold – resolve flag",IF(Z83&lt;=Weights!$C$18,"Tier 1 – Flagship launch",IF(OR(Z83&lt;=Weights!$C$19,AF83="Yes"),"Tier 2 – Priority",IF(Z83&lt;=Weights!$C$20,"Tier 3 – Standard rotation","Tier 4 – Reserve"))))</f>
        <v>Tier 3 – Standard rotation</v>
      </c>
      <c r="AB83" s="18" t="s">
        <v>673</v>
      </c>
      <c r="AC83" s="27" t="s">
        <v>674</v>
      </c>
      <c r="AD83" s="18" t="s">
        <v>357</v>
      </c>
      <c r="AE83" s="15" t="s">
        <v>217</v>
      </c>
      <c r="AF83" s="23" t="s">
        <v>126</v>
      </c>
      <c r="AG83" s="29" t="n">
        <f aca="false">IF(OR(Z83&lt;=Weights!$C$19,AF83="Yes"),Y83,Y83-5000)</f>
        <v>-4939.20083</v>
      </c>
      <c r="AH83" s="15" t="str">
        <f aca="false">IF(OR(Z83&lt;=Weights!$C$19,AF83="Yes"),RANK(AG83,$AG$5:$AG$172,0),"")</f>
        <v/>
      </c>
    </row>
    <row r="84" customFormat="false" ht="46.25" hidden="false" customHeight="false" outlineLevel="0" collapsed="false">
      <c r="A84" s="18" t="s">
        <v>675</v>
      </c>
      <c r="B84" s="27" t="s">
        <v>676</v>
      </c>
      <c r="C84" s="18" t="s">
        <v>677</v>
      </c>
      <c r="D84" s="18" t="s">
        <v>678</v>
      </c>
      <c r="E84" s="18" t="s">
        <v>679</v>
      </c>
      <c r="F84" s="18" t="s">
        <v>125</v>
      </c>
      <c r="G84" s="15" t="n">
        <v>2024</v>
      </c>
      <c r="H84" s="15" t="s">
        <v>138</v>
      </c>
      <c r="I84" s="23" t="n">
        <v>5</v>
      </c>
      <c r="J84" s="23" t="n">
        <v>5</v>
      </c>
      <c r="K84" s="23" t="n">
        <v>2</v>
      </c>
      <c r="L84" s="23" t="n">
        <v>5</v>
      </c>
      <c r="M84" s="23" t="n">
        <v>0</v>
      </c>
      <c r="N84" s="23" t="n">
        <v>0</v>
      </c>
      <c r="O84" s="23" t="n">
        <v>2</v>
      </c>
      <c r="P84" s="23" t="n">
        <v>3.5</v>
      </c>
      <c r="Q84" s="23" t="n">
        <v>5</v>
      </c>
      <c r="R84" s="23" t="n">
        <v>1</v>
      </c>
      <c r="S84" s="23" t="n">
        <v>5</v>
      </c>
      <c r="T84" s="23" t="n">
        <v>0</v>
      </c>
      <c r="U84" s="18" t="s">
        <v>131</v>
      </c>
      <c r="V84" s="18" t="s">
        <v>422</v>
      </c>
      <c r="W84" s="28" t="n">
        <f aca="false">MIN(100,MAX(0,ROUND(SUMPRODUCT(I84:S84,$I$3:$S$3)/SUM($I$3:$S$3)/5*100+T84,1)))</f>
        <v>61.8</v>
      </c>
      <c r="X84" s="15" t="str">
        <f aca="false">IF(U84="Yes","No","Yes")</f>
        <v>No</v>
      </c>
      <c r="Y84" s="29" t="n">
        <f aca="false">IF(X84="Yes",W84,W84-1000)-ROW()/100000</f>
        <v>-938.20084</v>
      </c>
      <c r="Z84" s="15" t="n">
        <f aca="false">RANK(Y84,$Y$5:$Y$172,0)</f>
        <v>153</v>
      </c>
      <c r="AA84" s="15" t="str">
        <f aca="false">IF(X84="No","Hold – resolve flag",IF(Z84&lt;=Weights!$C$18,"Tier 1 – Flagship launch",IF(OR(Z84&lt;=Weights!$C$19,AF84="Yes"),"Tier 2 – Priority",IF(Z84&lt;=Weights!$C$20,"Tier 3 – Standard rotation","Tier 4 – Reserve"))))</f>
        <v>Hold – resolve flag</v>
      </c>
      <c r="AB84" s="18" t="s">
        <v>680</v>
      </c>
      <c r="AC84" s="27" t="s">
        <v>681</v>
      </c>
      <c r="AD84" s="18" t="s">
        <v>357</v>
      </c>
      <c r="AE84" s="15" t="s">
        <v>217</v>
      </c>
      <c r="AF84" s="23" t="s">
        <v>131</v>
      </c>
      <c r="AG84" s="29" t="n">
        <f aca="false">IF(OR(Z84&lt;=Weights!$C$19,AF84="Yes"),Y84,Y84-5000)</f>
        <v>-938.20084</v>
      </c>
      <c r="AH84" s="15" t="n">
        <f aca="false">IF(OR(Z84&lt;=Weights!$C$19,AF84="Yes"),RANK(AG84,$AG$5:$AG$172,0),"")</f>
        <v>60</v>
      </c>
    </row>
    <row r="85" customFormat="false" ht="46.25" hidden="false" customHeight="false" outlineLevel="0" collapsed="false">
      <c r="A85" s="18" t="s">
        <v>682</v>
      </c>
      <c r="B85" s="27" t="s">
        <v>683</v>
      </c>
      <c r="C85" s="18" t="s">
        <v>684</v>
      </c>
      <c r="D85" s="18" t="s">
        <v>685</v>
      </c>
      <c r="E85" s="18" t="s">
        <v>236</v>
      </c>
      <c r="F85" s="18" t="s">
        <v>354</v>
      </c>
      <c r="G85" s="15" t="n">
        <v>2024</v>
      </c>
      <c r="H85" s="15" t="s">
        <v>138</v>
      </c>
      <c r="I85" s="23" t="n">
        <v>4</v>
      </c>
      <c r="J85" s="23" t="n">
        <v>4</v>
      </c>
      <c r="K85" s="23" t="n">
        <v>2</v>
      </c>
      <c r="L85" s="23" t="n">
        <v>5</v>
      </c>
      <c r="M85" s="23" t="n">
        <v>0</v>
      </c>
      <c r="N85" s="23" t="n">
        <v>0</v>
      </c>
      <c r="O85" s="23" t="n">
        <v>2</v>
      </c>
      <c r="P85" s="23" t="n">
        <v>2.2</v>
      </c>
      <c r="Q85" s="23" t="n">
        <v>4.8</v>
      </c>
      <c r="R85" s="23" t="n">
        <v>1</v>
      </c>
      <c r="S85" s="23" t="n">
        <v>4</v>
      </c>
      <c r="T85" s="23" t="n">
        <v>0</v>
      </c>
      <c r="U85" s="18" t="s">
        <v>131</v>
      </c>
      <c r="V85" s="18" t="s">
        <v>422</v>
      </c>
      <c r="W85" s="28" t="n">
        <f aca="false">MIN(100,MAX(0,ROUND(SUMPRODUCT(I85:S85,$I$3:$S$3)/SUM($I$3:$S$3)/5*100+T85,1)))</f>
        <v>53.8</v>
      </c>
      <c r="X85" s="15" t="str">
        <f aca="false">IF(U85="Yes","No","Yes")</f>
        <v>No</v>
      </c>
      <c r="Y85" s="29" t="n">
        <f aca="false">IF(X85="Yes",W85,W85-1000)-ROW()/100000</f>
        <v>-946.20085</v>
      </c>
      <c r="Z85" s="15" t="n">
        <f aca="false">RANK(Y85,$Y$5:$Y$172,0)</f>
        <v>159</v>
      </c>
      <c r="AA85" s="15" t="str">
        <f aca="false">IF(X85="No","Hold – resolve flag",IF(Z85&lt;=Weights!$C$18,"Tier 1 – Flagship launch",IF(OR(Z85&lt;=Weights!$C$19,AF85="Yes"),"Tier 2 – Priority",IF(Z85&lt;=Weights!$C$20,"Tier 3 – Standard rotation","Tier 4 – Reserve"))))</f>
        <v>Hold – resolve flag</v>
      </c>
      <c r="AB85" s="18" t="s">
        <v>686</v>
      </c>
      <c r="AC85" s="27" t="s">
        <v>687</v>
      </c>
      <c r="AD85" s="18" t="s">
        <v>357</v>
      </c>
      <c r="AE85" s="15" t="s">
        <v>217</v>
      </c>
      <c r="AF85" s="23" t="s">
        <v>126</v>
      </c>
      <c r="AG85" s="29" t="n">
        <f aca="false">IF(OR(Z85&lt;=Weights!$C$19,AF85="Yes"),Y85,Y85-5000)</f>
        <v>-5946.20085</v>
      </c>
      <c r="AH85" s="15" t="str">
        <f aca="false">IF(OR(Z85&lt;=Weights!$C$19,AF85="Yes"),RANK(AG85,$AG$5:$AG$172,0),"")</f>
        <v/>
      </c>
    </row>
    <row r="86" customFormat="false" ht="46.25" hidden="false" customHeight="false" outlineLevel="0" collapsed="false">
      <c r="A86" s="18" t="s">
        <v>688</v>
      </c>
      <c r="B86" s="27" t="s">
        <v>689</v>
      </c>
      <c r="C86" s="18" t="s">
        <v>690</v>
      </c>
      <c r="D86" s="18" t="s">
        <v>691</v>
      </c>
      <c r="E86" s="18" t="s">
        <v>692</v>
      </c>
      <c r="F86" s="18" t="s">
        <v>354</v>
      </c>
      <c r="G86" s="15" t="n">
        <v>2024</v>
      </c>
      <c r="H86" s="15" t="s">
        <v>138</v>
      </c>
      <c r="I86" s="23" t="n">
        <v>2</v>
      </c>
      <c r="J86" s="23" t="n">
        <v>5</v>
      </c>
      <c r="K86" s="23" t="n">
        <v>2</v>
      </c>
      <c r="L86" s="23" t="n">
        <v>5</v>
      </c>
      <c r="M86" s="23" t="n">
        <v>0</v>
      </c>
      <c r="N86" s="23" t="n">
        <v>0</v>
      </c>
      <c r="O86" s="23" t="n">
        <v>2</v>
      </c>
      <c r="P86" s="23" t="n">
        <v>2.2</v>
      </c>
      <c r="Q86" s="23" t="n">
        <v>4.8</v>
      </c>
      <c r="R86" s="23" t="n">
        <v>1</v>
      </c>
      <c r="S86" s="23" t="n">
        <v>4</v>
      </c>
      <c r="T86" s="23" t="n">
        <v>0</v>
      </c>
      <c r="U86" s="18" t="s">
        <v>131</v>
      </c>
      <c r="V86" s="18" t="s">
        <v>422</v>
      </c>
      <c r="W86" s="28" t="n">
        <f aca="false">MIN(100,MAX(0,ROUND(SUMPRODUCT(I86:S86,$I$3:$S$3)/SUM($I$3:$S$3)/5*100+T86,1)))</f>
        <v>53</v>
      </c>
      <c r="X86" s="15" t="str">
        <f aca="false">IF(U86="Yes","No","Yes")</f>
        <v>No</v>
      </c>
      <c r="Y86" s="29" t="n">
        <f aca="false">IF(X86="Yes",W86,W86-1000)-ROW()/100000</f>
        <v>-947.00086</v>
      </c>
      <c r="Z86" s="15" t="n">
        <f aca="false">RANK(Y86,$Y$5:$Y$172,0)</f>
        <v>160</v>
      </c>
      <c r="AA86" s="15" t="str">
        <f aca="false">IF(X86="No","Hold – resolve flag",IF(Z86&lt;=Weights!$C$18,"Tier 1 – Flagship launch",IF(OR(Z86&lt;=Weights!$C$19,AF86="Yes"),"Tier 2 – Priority",IF(Z86&lt;=Weights!$C$20,"Tier 3 – Standard rotation","Tier 4 – Reserve"))))</f>
        <v>Hold – resolve flag</v>
      </c>
      <c r="AB86" s="18" t="s">
        <v>693</v>
      </c>
      <c r="AC86" s="27" t="s">
        <v>694</v>
      </c>
      <c r="AD86" s="18" t="s">
        <v>357</v>
      </c>
      <c r="AE86" s="15" t="s">
        <v>217</v>
      </c>
      <c r="AF86" s="23" t="s">
        <v>126</v>
      </c>
      <c r="AG86" s="29" t="n">
        <f aca="false">IF(OR(Z86&lt;=Weights!$C$19,AF86="Yes"),Y86,Y86-5000)</f>
        <v>-5947.00086</v>
      </c>
      <c r="AH86" s="15" t="str">
        <f aca="false">IF(OR(Z86&lt;=Weights!$C$19,AF86="Yes"),RANK(AG86,$AG$5:$AG$172,0),"")</f>
        <v/>
      </c>
    </row>
    <row r="87" customFormat="false" ht="35.05" hidden="false" customHeight="false" outlineLevel="0" collapsed="false">
      <c r="A87" s="18" t="s">
        <v>695</v>
      </c>
      <c r="B87" s="27" t="s">
        <v>696</v>
      </c>
      <c r="C87" s="18" t="s">
        <v>697</v>
      </c>
      <c r="D87" s="18" t="s">
        <v>698</v>
      </c>
      <c r="E87" s="18" t="s">
        <v>699</v>
      </c>
      <c r="F87" s="18" t="s">
        <v>354</v>
      </c>
      <c r="G87" s="15" t="n">
        <v>2024</v>
      </c>
      <c r="H87" s="15" t="s">
        <v>138</v>
      </c>
      <c r="I87" s="23" t="n">
        <v>2</v>
      </c>
      <c r="J87" s="23" t="n">
        <v>4</v>
      </c>
      <c r="K87" s="23" t="n">
        <v>2</v>
      </c>
      <c r="L87" s="23" t="n">
        <v>5</v>
      </c>
      <c r="M87" s="23" t="n">
        <v>0</v>
      </c>
      <c r="N87" s="23" t="n">
        <v>0</v>
      </c>
      <c r="O87" s="23" t="n">
        <v>2</v>
      </c>
      <c r="P87" s="23" t="n">
        <v>3</v>
      </c>
      <c r="Q87" s="23" t="n">
        <v>4.6</v>
      </c>
      <c r="R87" s="23" t="n">
        <v>2.5</v>
      </c>
      <c r="S87" s="23" t="n">
        <v>4</v>
      </c>
      <c r="T87" s="23" t="n">
        <v>0</v>
      </c>
      <c r="U87" s="18" t="s">
        <v>126</v>
      </c>
      <c r="V87" s="18"/>
      <c r="W87" s="28" t="n">
        <f aca="false">MIN(100,MAX(0,ROUND(SUMPRODUCT(I87:S87,$I$3:$S$3)/SUM($I$3:$S$3)/5*100+T87,1)))</f>
        <v>56.1</v>
      </c>
      <c r="X87" s="15" t="str">
        <f aca="false">IF(U87="Yes","No","Yes")</f>
        <v>Yes</v>
      </c>
      <c r="Y87" s="29" t="n">
        <f aca="false">IF(X87="Yes",W87,W87-1000)-ROW()/100000</f>
        <v>56.09913</v>
      </c>
      <c r="Z87" s="15" t="n">
        <f aca="false">RANK(Y87,$Y$5:$Y$172,0)</f>
        <v>113</v>
      </c>
      <c r="AA87" s="15" t="str">
        <f aca="false">IF(X87="No","Hold – resolve flag",IF(Z87&lt;=Weights!$C$18,"Tier 1 – Flagship launch",IF(OR(Z87&lt;=Weights!$C$19,AF87="Yes"),"Tier 2 – Priority",IF(Z87&lt;=Weights!$C$20,"Tier 3 – Standard rotation","Tier 4 – Reserve"))))</f>
        <v>Tier 4 – Reserve</v>
      </c>
      <c r="AB87" s="18" t="s">
        <v>700</v>
      </c>
      <c r="AC87" s="27" t="s">
        <v>701</v>
      </c>
      <c r="AD87" s="18" t="s">
        <v>357</v>
      </c>
      <c r="AE87" s="15" t="s">
        <v>217</v>
      </c>
      <c r="AF87" s="23" t="s">
        <v>126</v>
      </c>
      <c r="AG87" s="29" t="n">
        <f aca="false">IF(OR(Z87&lt;=Weights!$C$19,AF87="Yes"),Y87,Y87-5000)</f>
        <v>-4943.90087</v>
      </c>
      <c r="AH87" s="15" t="str">
        <f aca="false">IF(OR(Z87&lt;=Weights!$C$19,AF87="Yes"),RANK(AG87,$AG$5:$AG$172,0),"")</f>
        <v/>
      </c>
    </row>
    <row r="88" customFormat="false" ht="46.25" hidden="false" customHeight="false" outlineLevel="0" collapsed="false">
      <c r="A88" s="18" t="s">
        <v>702</v>
      </c>
      <c r="B88" s="27" t="s">
        <v>703</v>
      </c>
      <c r="C88" s="18" t="s">
        <v>704</v>
      </c>
      <c r="D88" s="18" t="s">
        <v>401</v>
      </c>
      <c r="E88" s="18" t="s">
        <v>705</v>
      </c>
      <c r="F88" s="18" t="s">
        <v>444</v>
      </c>
      <c r="G88" s="15" t="n">
        <v>2025</v>
      </c>
      <c r="H88" s="15" t="s">
        <v>138</v>
      </c>
      <c r="I88" s="23" t="n">
        <v>2</v>
      </c>
      <c r="J88" s="23" t="n">
        <v>4</v>
      </c>
      <c r="K88" s="23" t="n">
        <v>2</v>
      </c>
      <c r="L88" s="23" t="n">
        <v>5</v>
      </c>
      <c r="M88" s="23" t="n">
        <v>0</v>
      </c>
      <c r="N88" s="23" t="n">
        <v>0</v>
      </c>
      <c r="O88" s="23" t="n">
        <v>2</v>
      </c>
      <c r="P88" s="23" t="n">
        <v>2.2</v>
      </c>
      <c r="Q88" s="23" t="n">
        <v>3.8</v>
      </c>
      <c r="R88" s="23" t="n">
        <v>1</v>
      </c>
      <c r="S88" s="23" t="n">
        <v>5</v>
      </c>
      <c r="T88" s="23" t="n">
        <v>0</v>
      </c>
      <c r="U88" s="18" t="s">
        <v>131</v>
      </c>
      <c r="V88" s="18" t="s">
        <v>422</v>
      </c>
      <c r="W88" s="28" t="n">
        <f aca="false">MIN(100,MAX(0,ROUND(SUMPRODUCT(I88:S88,$I$3:$S$3)/SUM($I$3:$S$3)/5*100+T88,1)))</f>
        <v>50.6</v>
      </c>
      <c r="X88" s="15" t="str">
        <f aca="false">IF(U88="Yes","No","Yes")</f>
        <v>No</v>
      </c>
      <c r="Y88" s="29" t="n">
        <f aca="false">IF(X88="Yes",W88,W88-1000)-ROW()/100000</f>
        <v>-949.40088</v>
      </c>
      <c r="Z88" s="15" t="n">
        <f aca="false">RANK(Y88,$Y$5:$Y$172,0)</f>
        <v>161</v>
      </c>
      <c r="AA88" s="15" t="str">
        <f aca="false">IF(X88="No","Hold – resolve flag",IF(Z88&lt;=Weights!$C$18,"Tier 1 – Flagship launch",IF(OR(Z88&lt;=Weights!$C$19,AF88="Yes"),"Tier 2 – Priority",IF(Z88&lt;=Weights!$C$20,"Tier 3 – Standard rotation","Tier 4 – Reserve"))))</f>
        <v>Hold – resolve flag</v>
      </c>
      <c r="AB88" s="18" t="s">
        <v>706</v>
      </c>
      <c r="AC88" s="27" t="s">
        <v>707</v>
      </c>
      <c r="AD88" s="18" t="s">
        <v>708</v>
      </c>
      <c r="AE88" s="15" t="s">
        <v>217</v>
      </c>
      <c r="AF88" s="23" t="s">
        <v>126</v>
      </c>
      <c r="AG88" s="29" t="n">
        <f aca="false">IF(OR(Z88&lt;=Weights!$C$19,AF88="Yes"),Y88,Y88-5000)</f>
        <v>-5949.40088</v>
      </c>
      <c r="AH88" s="15" t="str">
        <f aca="false">IF(OR(Z88&lt;=Weights!$C$19,AF88="Yes"),RANK(AG88,$AG$5:$AG$172,0),"")</f>
        <v/>
      </c>
    </row>
    <row r="89" customFormat="false" ht="35.05" hidden="false" customHeight="false" outlineLevel="0" collapsed="false">
      <c r="A89" s="18" t="s">
        <v>709</v>
      </c>
      <c r="B89" s="27" t="s">
        <v>710</v>
      </c>
      <c r="C89" s="18" t="s">
        <v>711</v>
      </c>
      <c r="D89" s="18" t="s">
        <v>712</v>
      </c>
      <c r="E89" s="18" t="s">
        <v>713</v>
      </c>
      <c r="F89" s="18" t="s">
        <v>444</v>
      </c>
      <c r="G89" s="15" t="n">
        <v>2025</v>
      </c>
      <c r="H89" s="15" t="n">
        <v>3</v>
      </c>
      <c r="I89" s="23" t="n">
        <v>5</v>
      </c>
      <c r="J89" s="23" t="n">
        <v>5</v>
      </c>
      <c r="K89" s="23" t="n">
        <v>4</v>
      </c>
      <c r="L89" s="23" t="n">
        <v>5</v>
      </c>
      <c r="M89" s="23" t="n">
        <v>0</v>
      </c>
      <c r="N89" s="23" t="n">
        <v>0</v>
      </c>
      <c r="O89" s="23" t="n">
        <v>2</v>
      </c>
      <c r="P89" s="23" t="n">
        <v>3</v>
      </c>
      <c r="Q89" s="23" t="n">
        <v>5</v>
      </c>
      <c r="R89" s="23" t="n">
        <v>4</v>
      </c>
      <c r="S89" s="23" t="n">
        <v>5</v>
      </c>
      <c r="T89" s="23" t="n">
        <v>0</v>
      </c>
      <c r="U89" s="18" t="s">
        <v>126</v>
      </c>
      <c r="V89" s="18"/>
      <c r="W89" s="28" t="n">
        <f aca="false">MIN(100,MAX(0,ROUND(SUMPRODUCT(I89:S89,$I$3:$S$3)/SUM($I$3:$S$3)/5*100+T89,1)))</f>
        <v>73.2</v>
      </c>
      <c r="X89" s="15" t="str">
        <f aca="false">IF(U89="Yes","No","Yes")</f>
        <v>Yes</v>
      </c>
      <c r="Y89" s="29" t="n">
        <f aca="false">IF(X89="Yes",W89,W89-1000)-ROW()/100000</f>
        <v>73.19911</v>
      </c>
      <c r="Z89" s="15" t="n">
        <f aca="false">RANK(Y89,$Y$5:$Y$172,0)</f>
        <v>8</v>
      </c>
      <c r="AA89" s="15" t="str">
        <f aca="false">IF(X89="No","Hold – resolve flag",IF(Z89&lt;=Weights!$C$18,"Tier 1 – Flagship launch",IF(OR(Z89&lt;=Weights!$C$19,AF89="Yes"),"Tier 2 – Priority",IF(Z89&lt;=Weights!$C$20,"Tier 3 – Standard rotation","Tier 4 – Reserve"))))</f>
        <v>Tier 1 – Flagship launch</v>
      </c>
      <c r="AB89" s="18" t="s">
        <v>714</v>
      </c>
      <c r="AC89" s="27" t="s">
        <v>715</v>
      </c>
      <c r="AD89" s="18" t="s">
        <v>216</v>
      </c>
      <c r="AE89" s="15" t="s">
        <v>217</v>
      </c>
      <c r="AF89" s="23" t="s">
        <v>131</v>
      </c>
      <c r="AG89" s="29" t="n">
        <f aca="false">IF(OR(Z89&lt;=Weights!$C$19,AF89="Yes"),Y89,Y89-5000)</f>
        <v>73.19911</v>
      </c>
      <c r="AH89" s="15" t="n">
        <f aca="false">IF(OR(Z89&lt;=Weights!$C$19,AF89="Yes"),RANK(AG89,$AG$5:$AG$172,0),"")</f>
        <v>8</v>
      </c>
    </row>
    <row r="90" customFormat="false" ht="46.25" hidden="false" customHeight="false" outlineLevel="0" collapsed="false">
      <c r="A90" s="18" t="s">
        <v>716</v>
      </c>
      <c r="B90" s="27" t="s">
        <v>717</v>
      </c>
      <c r="C90" s="18" t="s">
        <v>718</v>
      </c>
      <c r="D90" s="18" t="s">
        <v>338</v>
      </c>
      <c r="E90" s="18" t="s">
        <v>719</v>
      </c>
      <c r="F90" s="18" t="s">
        <v>125</v>
      </c>
      <c r="G90" s="15" t="n">
        <v>2024</v>
      </c>
      <c r="H90" s="15" t="s">
        <v>138</v>
      </c>
      <c r="I90" s="23" t="n">
        <v>5</v>
      </c>
      <c r="J90" s="23" t="n">
        <v>5</v>
      </c>
      <c r="K90" s="23" t="n">
        <v>2</v>
      </c>
      <c r="L90" s="23" t="n">
        <v>5</v>
      </c>
      <c r="M90" s="23" t="n">
        <v>0</v>
      </c>
      <c r="N90" s="23" t="n">
        <v>0</v>
      </c>
      <c r="O90" s="23" t="n">
        <v>2</v>
      </c>
      <c r="P90" s="23" t="n">
        <v>3.5</v>
      </c>
      <c r="Q90" s="23" t="n">
        <v>5</v>
      </c>
      <c r="R90" s="23" t="n">
        <v>1</v>
      </c>
      <c r="S90" s="23" t="n">
        <v>5</v>
      </c>
      <c r="T90" s="23" t="n">
        <v>0</v>
      </c>
      <c r="U90" s="18" t="s">
        <v>131</v>
      </c>
      <c r="V90" s="18" t="s">
        <v>422</v>
      </c>
      <c r="W90" s="28" t="n">
        <f aca="false">MIN(100,MAX(0,ROUND(SUMPRODUCT(I90:S90,$I$3:$S$3)/SUM($I$3:$S$3)/5*100+T90,1)))</f>
        <v>61.8</v>
      </c>
      <c r="X90" s="15" t="str">
        <f aca="false">IF(U90="Yes","No","Yes")</f>
        <v>No</v>
      </c>
      <c r="Y90" s="29" t="n">
        <f aca="false">IF(X90="Yes",W90,W90-1000)-ROW()/100000</f>
        <v>-938.2009</v>
      </c>
      <c r="Z90" s="15" t="n">
        <f aca="false">RANK(Y90,$Y$5:$Y$172,0)</f>
        <v>154</v>
      </c>
      <c r="AA90" s="15" t="str">
        <f aca="false">IF(X90="No","Hold – resolve flag",IF(Z90&lt;=Weights!$C$18,"Tier 1 – Flagship launch",IF(OR(Z90&lt;=Weights!$C$19,AF90="Yes"),"Tier 2 – Priority",IF(Z90&lt;=Weights!$C$20,"Tier 3 – Standard rotation","Tier 4 – Reserve"))))</f>
        <v>Hold – resolve flag</v>
      </c>
      <c r="AB90" s="18" t="s">
        <v>680</v>
      </c>
      <c r="AC90" s="27" t="s">
        <v>720</v>
      </c>
      <c r="AD90" s="18" t="s">
        <v>357</v>
      </c>
      <c r="AE90" s="15" t="s">
        <v>217</v>
      </c>
      <c r="AF90" s="23" t="s">
        <v>126</v>
      </c>
      <c r="AG90" s="29" t="n">
        <f aca="false">IF(OR(Z90&lt;=Weights!$C$19,AF90="Yes"),Y90,Y90-5000)</f>
        <v>-5938.2009</v>
      </c>
      <c r="AH90" s="15" t="str">
        <f aca="false">IF(OR(Z90&lt;=Weights!$C$19,AF90="Yes"),RANK(AG90,$AG$5:$AG$172,0),"")</f>
        <v/>
      </c>
    </row>
    <row r="91" customFormat="false" ht="46.25" hidden="false" customHeight="false" outlineLevel="0" collapsed="false">
      <c r="A91" s="18" t="s">
        <v>721</v>
      </c>
      <c r="B91" s="27" t="s">
        <v>722</v>
      </c>
      <c r="C91" s="18" t="s">
        <v>723</v>
      </c>
      <c r="D91" s="18" t="s">
        <v>724</v>
      </c>
      <c r="E91" s="18" t="s">
        <v>725</v>
      </c>
      <c r="F91" s="18" t="s">
        <v>125</v>
      </c>
      <c r="G91" s="15" t="n">
        <v>2024</v>
      </c>
      <c r="H91" s="15" t="s">
        <v>138</v>
      </c>
      <c r="I91" s="23" t="n">
        <v>2</v>
      </c>
      <c r="J91" s="23" t="n">
        <v>4</v>
      </c>
      <c r="K91" s="23" t="n">
        <v>2</v>
      </c>
      <c r="L91" s="23" t="n">
        <v>5</v>
      </c>
      <c r="M91" s="23" t="n">
        <v>0</v>
      </c>
      <c r="N91" s="23" t="n">
        <v>5</v>
      </c>
      <c r="O91" s="23" t="n">
        <v>2</v>
      </c>
      <c r="P91" s="23" t="n">
        <v>3.5</v>
      </c>
      <c r="Q91" s="23" t="n">
        <v>3</v>
      </c>
      <c r="R91" s="23" t="n">
        <v>0</v>
      </c>
      <c r="S91" s="23" t="n">
        <v>5</v>
      </c>
      <c r="T91" s="23" t="n">
        <v>0</v>
      </c>
      <c r="U91" s="18" t="s">
        <v>131</v>
      </c>
      <c r="V91" s="18" t="s">
        <v>422</v>
      </c>
      <c r="W91" s="28" t="n">
        <f aca="false">MIN(100,MAX(0,ROUND(SUMPRODUCT(I91:S91,$I$3:$S$3)/SUM($I$3:$S$3)/5*100+T91,1)))</f>
        <v>54.4</v>
      </c>
      <c r="X91" s="15" t="str">
        <f aca="false">IF(U91="Yes","No","Yes")</f>
        <v>No</v>
      </c>
      <c r="Y91" s="29" t="n">
        <f aca="false">IF(X91="Yes",W91,W91-1000)-ROW()/100000</f>
        <v>-945.60091</v>
      </c>
      <c r="Z91" s="15" t="n">
        <f aca="false">RANK(Y91,$Y$5:$Y$172,0)</f>
        <v>158</v>
      </c>
      <c r="AA91" s="15" t="str">
        <f aca="false">IF(X91="No","Hold – resolve flag",IF(Z91&lt;=Weights!$C$18,"Tier 1 – Flagship launch",IF(OR(Z91&lt;=Weights!$C$19,AF91="Yes"),"Tier 2 – Priority",IF(Z91&lt;=Weights!$C$20,"Tier 3 – Standard rotation","Tier 4 – Reserve"))))</f>
        <v>Hold – resolve flag</v>
      </c>
      <c r="AB91" s="18" t="s">
        <v>726</v>
      </c>
      <c r="AC91" s="27" t="s">
        <v>727</v>
      </c>
      <c r="AD91" s="18" t="s">
        <v>728</v>
      </c>
      <c r="AE91" s="15" t="s">
        <v>217</v>
      </c>
      <c r="AF91" s="23" t="s">
        <v>126</v>
      </c>
      <c r="AG91" s="29" t="n">
        <f aca="false">IF(OR(Z91&lt;=Weights!$C$19,AF91="Yes"),Y91,Y91-5000)</f>
        <v>-5945.60091</v>
      </c>
      <c r="AH91" s="15" t="str">
        <f aca="false">IF(OR(Z91&lt;=Weights!$C$19,AF91="Yes"),RANK(AG91,$AG$5:$AG$172,0),"")</f>
        <v/>
      </c>
    </row>
    <row r="92" customFormat="false" ht="46.25" hidden="false" customHeight="false" outlineLevel="0" collapsed="false">
      <c r="A92" s="18" t="s">
        <v>729</v>
      </c>
      <c r="B92" s="27" t="s">
        <v>730</v>
      </c>
      <c r="C92" s="18" t="s">
        <v>731</v>
      </c>
      <c r="D92" s="18" t="s">
        <v>732</v>
      </c>
      <c r="E92" s="18" t="s">
        <v>733</v>
      </c>
      <c r="F92" s="18" t="s">
        <v>125</v>
      </c>
      <c r="G92" s="15" t="n">
        <v>2025</v>
      </c>
      <c r="H92" s="15" t="s">
        <v>138</v>
      </c>
      <c r="I92" s="23" t="n">
        <v>2</v>
      </c>
      <c r="J92" s="23" t="n">
        <v>0</v>
      </c>
      <c r="K92" s="23" t="n">
        <v>2</v>
      </c>
      <c r="L92" s="23" t="n">
        <v>5</v>
      </c>
      <c r="M92" s="23" t="n">
        <v>0</v>
      </c>
      <c r="N92" s="23" t="n">
        <v>0</v>
      </c>
      <c r="O92" s="23" t="n">
        <v>2</v>
      </c>
      <c r="P92" s="23" t="n">
        <v>3.5</v>
      </c>
      <c r="Q92" s="23" t="n">
        <v>4.2</v>
      </c>
      <c r="R92" s="23" t="n">
        <v>1</v>
      </c>
      <c r="S92" s="23" t="n">
        <v>5</v>
      </c>
      <c r="T92" s="23" t="n">
        <v>0</v>
      </c>
      <c r="U92" s="18" t="s">
        <v>131</v>
      </c>
      <c r="V92" s="18" t="s">
        <v>734</v>
      </c>
      <c r="W92" s="28" t="n">
        <f aca="false">MIN(100,MAX(0,ROUND(SUMPRODUCT(I92:S92,$I$3:$S$3)/SUM($I$3:$S$3)/5*100+T92,1)))</f>
        <v>43.7</v>
      </c>
      <c r="X92" s="15" t="str">
        <f aca="false">IF(U92="Yes","No","Yes")</f>
        <v>No</v>
      </c>
      <c r="Y92" s="29" t="n">
        <f aca="false">IF(X92="Yes",W92,W92-1000)-ROW()/100000</f>
        <v>-956.30092</v>
      </c>
      <c r="Z92" s="15" t="n">
        <f aca="false">RANK(Y92,$Y$5:$Y$172,0)</f>
        <v>167</v>
      </c>
      <c r="AA92" s="15" t="str">
        <f aca="false">IF(X92="No","Hold – resolve flag",IF(Z92&lt;=Weights!$C$18,"Tier 1 – Flagship launch",IF(OR(Z92&lt;=Weights!$C$19,AF92="Yes"),"Tier 2 – Priority",IF(Z92&lt;=Weights!$C$20,"Tier 3 – Standard rotation","Tier 4 – Reserve"))))</f>
        <v>Hold – resolve flag</v>
      </c>
      <c r="AB92" s="18" t="s">
        <v>735</v>
      </c>
      <c r="AC92" s="27" t="s">
        <v>736</v>
      </c>
      <c r="AD92" s="18" t="s">
        <v>357</v>
      </c>
      <c r="AE92" s="15" t="s">
        <v>217</v>
      </c>
      <c r="AF92" s="23" t="s">
        <v>126</v>
      </c>
      <c r="AG92" s="29" t="n">
        <f aca="false">IF(OR(Z92&lt;=Weights!$C$19,AF92="Yes"),Y92,Y92-5000)</f>
        <v>-5956.30092</v>
      </c>
      <c r="AH92" s="15" t="str">
        <f aca="false">IF(OR(Z92&lt;=Weights!$C$19,AF92="Yes"),RANK(AG92,$AG$5:$AG$172,0),"")</f>
        <v/>
      </c>
    </row>
    <row r="93" customFormat="false" ht="35.05" hidden="false" customHeight="false" outlineLevel="0" collapsed="false">
      <c r="A93" s="18" t="s">
        <v>737</v>
      </c>
      <c r="B93" s="27" t="s">
        <v>738</v>
      </c>
      <c r="C93" s="18" t="s">
        <v>739</v>
      </c>
      <c r="D93" s="18" t="s">
        <v>740</v>
      </c>
      <c r="E93" s="18" t="s">
        <v>741</v>
      </c>
      <c r="F93" s="18" t="s">
        <v>125</v>
      </c>
      <c r="G93" s="15" t="n">
        <v>2025</v>
      </c>
      <c r="H93" s="15" t="n">
        <v>11</v>
      </c>
      <c r="I93" s="23" t="n">
        <v>2</v>
      </c>
      <c r="J93" s="23" t="n">
        <v>4</v>
      </c>
      <c r="K93" s="23" t="n">
        <v>1</v>
      </c>
      <c r="L93" s="23" t="n">
        <v>5</v>
      </c>
      <c r="M93" s="23" t="n">
        <v>3</v>
      </c>
      <c r="N93" s="23" t="n">
        <v>5</v>
      </c>
      <c r="O93" s="23" t="n">
        <v>3</v>
      </c>
      <c r="P93" s="23" t="n">
        <v>3.5</v>
      </c>
      <c r="Q93" s="23" t="n">
        <v>5</v>
      </c>
      <c r="R93" s="23" t="n">
        <v>4.5</v>
      </c>
      <c r="S93" s="23" t="n">
        <v>5</v>
      </c>
      <c r="T93" s="23" t="n">
        <v>0</v>
      </c>
      <c r="U93" s="18" t="s">
        <v>126</v>
      </c>
      <c r="V93" s="18"/>
      <c r="W93" s="28" t="n">
        <f aca="false">MIN(100,MAX(0,ROUND(SUMPRODUCT(I93:S93,$I$3:$S$3)/SUM($I$3:$S$3)/5*100+T93,1)))</f>
        <v>75.7</v>
      </c>
      <c r="X93" s="15" t="str">
        <f aca="false">IF(U93="Yes","No","Yes")</f>
        <v>Yes</v>
      </c>
      <c r="Y93" s="29" t="n">
        <f aca="false">IF(X93="Yes",W93,W93-1000)-ROW()/100000</f>
        <v>75.69907</v>
      </c>
      <c r="Z93" s="15" t="n">
        <f aca="false">RANK(Y93,$Y$5:$Y$172,0)</f>
        <v>3</v>
      </c>
      <c r="AA93" s="15" t="str">
        <f aca="false">IF(X93="No","Hold – resolve flag",IF(Z93&lt;=Weights!$C$18,"Tier 1 – Flagship launch",IF(OR(Z93&lt;=Weights!$C$19,AF93="Yes"),"Tier 2 – Priority",IF(Z93&lt;=Weights!$C$20,"Tier 3 – Standard rotation","Tier 4 – Reserve"))))</f>
        <v>Tier 1 – Flagship launch</v>
      </c>
      <c r="AB93" s="18" t="s">
        <v>742</v>
      </c>
      <c r="AC93" s="27" t="s">
        <v>743</v>
      </c>
      <c r="AD93" s="18" t="s">
        <v>216</v>
      </c>
      <c r="AE93" s="15" t="s">
        <v>217</v>
      </c>
      <c r="AF93" s="23" t="s">
        <v>126</v>
      </c>
      <c r="AG93" s="29" t="n">
        <f aca="false">IF(OR(Z93&lt;=Weights!$C$19,AF93="Yes"),Y93,Y93-5000)</f>
        <v>75.69907</v>
      </c>
      <c r="AH93" s="15" t="n">
        <f aca="false">IF(OR(Z93&lt;=Weights!$C$19,AF93="Yes"),RANK(AG93,$AG$5:$AG$172,0),"")</f>
        <v>3</v>
      </c>
    </row>
    <row r="94" customFormat="false" ht="35.05" hidden="false" customHeight="false" outlineLevel="0" collapsed="false">
      <c r="A94" s="18" t="s">
        <v>744</v>
      </c>
      <c r="B94" s="27" t="s">
        <v>745</v>
      </c>
      <c r="C94" s="18" t="s">
        <v>745</v>
      </c>
      <c r="D94" s="18" t="s">
        <v>414</v>
      </c>
      <c r="E94" s="18" t="s">
        <v>746</v>
      </c>
      <c r="F94" s="18" t="s">
        <v>354</v>
      </c>
      <c r="G94" s="15" t="n">
        <v>2025</v>
      </c>
      <c r="H94" s="15" t="n">
        <v>4</v>
      </c>
      <c r="I94" s="23" t="n">
        <v>4</v>
      </c>
      <c r="J94" s="23" t="n">
        <v>4</v>
      </c>
      <c r="K94" s="23" t="n">
        <v>4</v>
      </c>
      <c r="L94" s="23" t="n">
        <v>5</v>
      </c>
      <c r="M94" s="23" t="n">
        <v>0</v>
      </c>
      <c r="N94" s="23" t="n">
        <v>0</v>
      </c>
      <c r="O94" s="23" t="n">
        <v>2</v>
      </c>
      <c r="P94" s="23" t="n">
        <v>3</v>
      </c>
      <c r="Q94" s="23" t="n">
        <v>5</v>
      </c>
      <c r="R94" s="23" t="n">
        <v>3.5</v>
      </c>
      <c r="S94" s="23" t="n">
        <v>5</v>
      </c>
      <c r="T94" s="23" t="n">
        <v>0</v>
      </c>
      <c r="U94" s="18" t="s">
        <v>126</v>
      </c>
      <c r="V94" s="18"/>
      <c r="W94" s="28" t="n">
        <f aca="false">MIN(100,MAX(0,ROUND(SUMPRODUCT(I94:S94,$I$3:$S$3)/SUM($I$3:$S$3)/5*100+T94,1)))</f>
        <v>67.7</v>
      </c>
      <c r="X94" s="15" t="str">
        <f aca="false">IF(U94="Yes","No","Yes")</f>
        <v>Yes</v>
      </c>
      <c r="Y94" s="29" t="n">
        <f aca="false">IF(X94="Yes",W94,W94-1000)-ROW()/100000</f>
        <v>67.69906</v>
      </c>
      <c r="Z94" s="15" t="n">
        <f aca="false">RANK(Y94,$Y$5:$Y$172,0)</f>
        <v>29</v>
      </c>
      <c r="AA94" s="15" t="str">
        <f aca="false">IF(X94="No","Hold – resolve flag",IF(Z94&lt;=Weights!$C$18,"Tier 1 – Flagship launch",IF(OR(Z94&lt;=Weights!$C$19,AF94="Yes"),"Tier 2 – Priority",IF(Z94&lt;=Weights!$C$20,"Tier 3 – Standard rotation","Tier 4 – Reserve"))))</f>
        <v>Tier 2 – Priority</v>
      </c>
      <c r="AB94" s="18" t="s">
        <v>747</v>
      </c>
      <c r="AC94" s="27" t="s">
        <v>748</v>
      </c>
      <c r="AD94" s="18" t="s">
        <v>129</v>
      </c>
      <c r="AE94" s="15" t="s">
        <v>130</v>
      </c>
      <c r="AF94" s="23" t="s">
        <v>126</v>
      </c>
      <c r="AG94" s="29" t="n">
        <f aca="false">IF(OR(Z94&lt;=Weights!$C$19,AF94="Yes"),Y94,Y94-5000)</f>
        <v>67.69906</v>
      </c>
      <c r="AH94" s="15" t="n">
        <f aca="false">IF(OR(Z94&lt;=Weights!$C$19,AF94="Yes"),RANK(AG94,$AG$5:$AG$172,0),"")</f>
        <v>29</v>
      </c>
    </row>
    <row r="95" customFormat="false" ht="35.05" hidden="false" customHeight="false" outlineLevel="0" collapsed="false">
      <c r="A95" s="18" t="s">
        <v>749</v>
      </c>
      <c r="B95" s="27" t="s">
        <v>750</v>
      </c>
      <c r="C95" s="18" t="s">
        <v>750</v>
      </c>
      <c r="D95" s="18" t="s">
        <v>751</v>
      </c>
      <c r="E95" s="18" t="s">
        <v>752</v>
      </c>
      <c r="F95" s="18" t="s">
        <v>153</v>
      </c>
      <c r="G95" s="15" t="n">
        <v>2024</v>
      </c>
      <c r="H95" s="15" t="n">
        <v>7</v>
      </c>
      <c r="I95" s="23" t="n">
        <v>5</v>
      </c>
      <c r="J95" s="23" t="n">
        <v>4</v>
      </c>
      <c r="K95" s="23" t="n">
        <v>3</v>
      </c>
      <c r="L95" s="23" t="n">
        <v>5</v>
      </c>
      <c r="M95" s="23" t="n">
        <v>0</v>
      </c>
      <c r="N95" s="23" t="n">
        <v>5</v>
      </c>
      <c r="O95" s="23" t="n">
        <v>2</v>
      </c>
      <c r="P95" s="23" t="n">
        <v>3.5</v>
      </c>
      <c r="Q95" s="23" t="n">
        <v>4.6</v>
      </c>
      <c r="R95" s="23" t="n">
        <v>3.5</v>
      </c>
      <c r="S95" s="23" t="n">
        <v>3</v>
      </c>
      <c r="T95" s="23" t="n">
        <v>0</v>
      </c>
      <c r="U95" s="18" t="s">
        <v>126</v>
      </c>
      <c r="V95" s="18"/>
      <c r="W95" s="28" t="n">
        <f aca="false">MIN(100,MAX(0,ROUND(SUMPRODUCT(I95:S95,$I$3:$S$3)/SUM($I$3:$S$3)/5*100+T95,1)))</f>
        <v>70.7</v>
      </c>
      <c r="X95" s="15" t="str">
        <f aca="false">IF(U95="Yes","No","Yes")</f>
        <v>Yes</v>
      </c>
      <c r="Y95" s="29" t="n">
        <f aca="false">IF(X95="Yes",W95,W95-1000)-ROW()/100000</f>
        <v>70.69905</v>
      </c>
      <c r="Z95" s="15" t="n">
        <f aca="false">RANK(Y95,$Y$5:$Y$172,0)</f>
        <v>17</v>
      </c>
      <c r="AA95" s="15" t="str">
        <f aca="false">IF(X95="No","Hold – resolve flag",IF(Z95&lt;=Weights!$C$18,"Tier 1 – Flagship launch",IF(OR(Z95&lt;=Weights!$C$19,AF95="Yes"),"Tier 2 – Priority",IF(Z95&lt;=Weights!$C$20,"Tier 3 – Standard rotation","Tier 4 – Reserve"))))</f>
        <v>Tier 2 – Priority</v>
      </c>
      <c r="AB95" s="18" t="s">
        <v>753</v>
      </c>
      <c r="AC95" s="27" t="s">
        <v>754</v>
      </c>
      <c r="AD95" s="18" t="s">
        <v>129</v>
      </c>
      <c r="AE95" s="15" t="s">
        <v>130</v>
      </c>
      <c r="AF95" s="23" t="s">
        <v>126</v>
      </c>
      <c r="AG95" s="29" t="n">
        <f aca="false">IF(OR(Z95&lt;=Weights!$C$19,AF95="Yes"),Y95,Y95-5000)</f>
        <v>70.69905</v>
      </c>
      <c r="AH95" s="15" t="n">
        <f aca="false">IF(OR(Z95&lt;=Weights!$C$19,AF95="Yes"),RANK(AG95,$AG$5:$AG$172,0),"")</f>
        <v>17</v>
      </c>
    </row>
    <row r="96" customFormat="false" ht="35.05" hidden="false" customHeight="false" outlineLevel="0" collapsed="false">
      <c r="A96" s="18" t="s">
        <v>755</v>
      </c>
      <c r="B96" s="27" t="s">
        <v>756</v>
      </c>
      <c r="C96" s="18" t="s">
        <v>756</v>
      </c>
      <c r="D96" s="18" t="s">
        <v>757</v>
      </c>
      <c r="E96" s="18" t="s">
        <v>758</v>
      </c>
      <c r="F96" s="18" t="s">
        <v>153</v>
      </c>
      <c r="G96" s="15" t="n">
        <v>2024</v>
      </c>
      <c r="H96" s="15" t="n">
        <v>12</v>
      </c>
      <c r="I96" s="23" t="n">
        <v>5</v>
      </c>
      <c r="J96" s="23" t="n">
        <v>4</v>
      </c>
      <c r="K96" s="23" t="n">
        <v>1</v>
      </c>
      <c r="L96" s="23" t="n">
        <v>3</v>
      </c>
      <c r="M96" s="23" t="n">
        <v>5</v>
      </c>
      <c r="N96" s="23" t="n">
        <v>0</v>
      </c>
      <c r="O96" s="23" t="n">
        <v>3</v>
      </c>
      <c r="P96" s="23" t="n">
        <v>2.2</v>
      </c>
      <c r="Q96" s="23" t="n">
        <v>4.8</v>
      </c>
      <c r="R96" s="23" t="n">
        <v>3.5</v>
      </c>
      <c r="S96" s="23" t="n">
        <v>3</v>
      </c>
      <c r="T96" s="23" t="n">
        <v>0</v>
      </c>
      <c r="U96" s="18" t="s">
        <v>126</v>
      </c>
      <c r="V96" s="18"/>
      <c r="W96" s="28" t="n">
        <f aca="false">MIN(100,MAX(0,ROUND(SUMPRODUCT(I96:S96,$I$3:$S$3)/SUM($I$3:$S$3)/5*100+T96,1)))</f>
        <v>64.7</v>
      </c>
      <c r="X96" s="15" t="str">
        <f aca="false">IF(U96="Yes","No","Yes")</f>
        <v>Yes</v>
      </c>
      <c r="Y96" s="29" t="n">
        <f aca="false">IF(X96="Yes",W96,W96-1000)-ROW()/100000</f>
        <v>64.69904</v>
      </c>
      <c r="Z96" s="15" t="n">
        <f aca="false">RANK(Y96,$Y$5:$Y$172,0)</f>
        <v>46</v>
      </c>
      <c r="AA96" s="15" t="str">
        <f aca="false">IF(X96="No","Hold – resolve flag",IF(Z96&lt;=Weights!$C$18,"Tier 1 – Flagship launch",IF(OR(Z96&lt;=Weights!$C$19,AF96="Yes"),"Tier 2 – Priority",IF(Z96&lt;=Weights!$C$20,"Tier 3 – Standard rotation","Tier 4 – Reserve"))))</f>
        <v>Tier 3 – Standard rotation</v>
      </c>
      <c r="AB96" s="18" t="s">
        <v>759</v>
      </c>
      <c r="AC96" s="27" t="s">
        <v>760</v>
      </c>
      <c r="AD96" s="18" t="s">
        <v>129</v>
      </c>
      <c r="AE96" s="15" t="s">
        <v>130</v>
      </c>
      <c r="AF96" s="23" t="s">
        <v>126</v>
      </c>
      <c r="AG96" s="29" t="n">
        <f aca="false">IF(OR(Z96&lt;=Weights!$C$19,AF96="Yes"),Y96,Y96-5000)</f>
        <v>-4935.30096</v>
      </c>
      <c r="AH96" s="15" t="str">
        <f aca="false">IF(OR(Z96&lt;=Weights!$C$19,AF96="Yes"),RANK(AG96,$AG$5:$AG$172,0),"")</f>
        <v/>
      </c>
    </row>
    <row r="97" customFormat="false" ht="35.05" hidden="false" customHeight="false" outlineLevel="0" collapsed="false">
      <c r="A97" s="18" t="s">
        <v>761</v>
      </c>
      <c r="B97" s="27" t="s">
        <v>762</v>
      </c>
      <c r="C97" s="18" t="s">
        <v>762</v>
      </c>
      <c r="D97" s="18" t="s">
        <v>763</v>
      </c>
      <c r="E97" s="18" t="s">
        <v>764</v>
      </c>
      <c r="F97" s="18" t="s">
        <v>153</v>
      </c>
      <c r="G97" s="15" t="n">
        <v>2024</v>
      </c>
      <c r="H97" s="15" t="n">
        <v>3</v>
      </c>
      <c r="I97" s="23" t="n">
        <v>5</v>
      </c>
      <c r="J97" s="23" t="n">
        <v>2</v>
      </c>
      <c r="K97" s="23" t="n">
        <v>4</v>
      </c>
      <c r="L97" s="23" t="n">
        <v>5</v>
      </c>
      <c r="M97" s="23" t="n">
        <v>0</v>
      </c>
      <c r="N97" s="23" t="n">
        <v>0</v>
      </c>
      <c r="O97" s="23" t="n">
        <v>2</v>
      </c>
      <c r="P97" s="23" t="n">
        <v>3</v>
      </c>
      <c r="Q97" s="23" t="n">
        <v>4.6</v>
      </c>
      <c r="R97" s="23" t="n">
        <v>3.5</v>
      </c>
      <c r="S97" s="23" t="n">
        <v>3</v>
      </c>
      <c r="T97" s="23" t="n">
        <v>0</v>
      </c>
      <c r="U97" s="18" t="s">
        <v>126</v>
      </c>
      <c r="V97" s="18"/>
      <c r="W97" s="28" t="n">
        <f aca="false">MIN(100,MAX(0,ROUND(SUMPRODUCT(I97:S97,$I$3:$S$3)/SUM($I$3:$S$3)/5*100+T97,1)))</f>
        <v>60.7</v>
      </c>
      <c r="X97" s="15" t="str">
        <f aca="false">IF(U97="Yes","No","Yes")</f>
        <v>Yes</v>
      </c>
      <c r="Y97" s="29" t="n">
        <f aca="false">IF(X97="Yes",W97,W97-1000)-ROW()/100000</f>
        <v>60.69903</v>
      </c>
      <c r="Z97" s="15" t="n">
        <f aca="false">RANK(Y97,$Y$5:$Y$172,0)</f>
        <v>76</v>
      </c>
      <c r="AA97" s="15" t="str">
        <f aca="false">IF(X97="No","Hold – resolve flag",IF(Z97&lt;=Weights!$C$18,"Tier 1 – Flagship launch",IF(OR(Z97&lt;=Weights!$C$19,AF97="Yes"),"Tier 2 – Priority",IF(Z97&lt;=Weights!$C$20,"Tier 3 – Standard rotation","Tier 4 – Reserve"))))</f>
        <v>Tier 3 – Standard rotation</v>
      </c>
      <c r="AB97" s="18" t="s">
        <v>765</v>
      </c>
      <c r="AC97" s="27" t="s">
        <v>766</v>
      </c>
      <c r="AD97" s="18" t="s">
        <v>129</v>
      </c>
      <c r="AE97" s="15" t="s">
        <v>130</v>
      </c>
      <c r="AF97" s="23" t="s">
        <v>126</v>
      </c>
      <c r="AG97" s="29" t="n">
        <f aca="false">IF(OR(Z97&lt;=Weights!$C$19,AF97="Yes"),Y97,Y97-5000)</f>
        <v>-4939.30097</v>
      </c>
      <c r="AH97" s="15" t="str">
        <f aca="false">IF(OR(Z97&lt;=Weights!$C$19,AF97="Yes"),RANK(AG97,$AG$5:$AG$172,0),"")</f>
        <v/>
      </c>
    </row>
    <row r="98" customFormat="false" ht="35.05" hidden="false" customHeight="false" outlineLevel="0" collapsed="false">
      <c r="A98" s="18" t="s">
        <v>767</v>
      </c>
      <c r="B98" s="27" t="s">
        <v>768</v>
      </c>
      <c r="C98" s="18" t="s">
        <v>768</v>
      </c>
      <c r="D98" s="18" t="s">
        <v>769</v>
      </c>
      <c r="E98" s="18" t="s">
        <v>770</v>
      </c>
      <c r="F98" s="18" t="s">
        <v>153</v>
      </c>
      <c r="G98" s="15" t="n">
        <v>2024</v>
      </c>
      <c r="H98" s="15" t="n">
        <v>5</v>
      </c>
      <c r="I98" s="23" t="n">
        <v>4</v>
      </c>
      <c r="J98" s="23" t="n">
        <v>4</v>
      </c>
      <c r="K98" s="23" t="n">
        <v>3</v>
      </c>
      <c r="L98" s="23" t="n">
        <v>5</v>
      </c>
      <c r="M98" s="23" t="n">
        <v>0</v>
      </c>
      <c r="N98" s="23" t="n">
        <v>0</v>
      </c>
      <c r="O98" s="23" t="n">
        <v>2</v>
      </c>
      <c r="P98" s="23" t="n">
        <v>3.5</v>
      </c>
      <c r="Q98" s="23" t="n">
        <v>4.6</v>
      </c>
      <c r="R98" s="23" t="n">
        <v>3.5</v>
      </c>
      <c r="S98" s="23" t="n">
        <v>3</v>
      </c>
      <c r="T98" s="23" t="n">
        <v>0</v>
      </c>
      <c r="U98" s="18" t="s">
        <v>126</v>
      </c>
      <c r="V98" s="18"/>
      <c r="W98" s="28" t="n">
        <f aca="false">MIN(100,MAX(0,ROUND(SUMPRODUCT(I98:S98,$I$3:$S$3)/SUM($I$3:$S$3)/5*100+T98,1)))</f>
        <v>63.1</v>
      </c>
      <c r="X98" s="15" t="str">
        <f aca="false">IF(U98="Yes","No","Yes")</f>
        <v>Yes</v>
      </c>
      <c r="Y98" s="29" t="n">
        <f aca="false">IF(X98="Yes",W98,W98-1000)-ROW()/100000</f>
        <v>63.09902</v>
      </c>
      <c r="Z98" s="15" t="n">
        <f aca="false">RANK(Y98,$Y$5:$Y$172,0)</f>
        <v>57</v>
      </c>
      <c r="AA98" s="15" t="str">
        <f aca="false">IF(X98="No","Hold – resolve flag",IF(Z98&lt;=Weights!$C$18,"Tier 1 – Flagship launch",IF(OR(Z98&lt;=Weights!$C$19,AF98="Yes"),"Tier 2 – Priority",IF(Z98&lt;=Weights!$C$20,"Tier 3 – Standard rotation","Tier 4 – Reserve"))))</f>
        <v>Tier 3 – Standard rotation</v>
      </c>
      <c r="AB98" s="18" t="s">
        <v>771</v>
      </c>
      <c r="AC98" s="27" t="s">
        <v>772</v>
      </c>
      <c r="AD98" s="18" t="s">
        <v>129</v>
      </c>
      <c r="AE98" s="15" t="s">
        <v>130</v>
      </c>
      <c r="AF98" s="23" t="s">
        <v>126</v>
      </c>
      <c r="AG98" s="29" t="n">
        <f aca="false">IF(OR(Z98&lt;=Weights!$C$19,AF98="Yes"),Y98,Y98-5000)</f>
        <v>-4936.90098</v>
      </c>
      <c r="AH98" s="15" t="str">
        <f aca="false">IF(OR(Z98&lt;=Weights!$C$19,AF98="Yes"),RANK(AG98,$AG$5:$AG$172,0),"")</f>
        <v/>
      </c>
    </row>
    <row r="99" customFormat="false" ht="35.05" hidden="false" customHeight="false" outlineLevel="0" collapsed="false">
      <c r="A99" s="18" t="s">
        <v>773</v>
      </c>
      <c r="B99" s="27" t="s">
        <v>774</v>
      </c>
      <c r="C99" s="18" t="s">
        <v>775</v>
      </c>
      <c r="D99" s="18" t="s">
        <v>776</v>
      </c>
      <c r="E99" s="18" t="s">
        <v>777</v>
      </c>
      <c r="F99" s="18" t="s">
        <v>137</v>
      </c>
      <c r="G99" s="15" t="n">
        <v>2025</v>
      </c>
      <c r="H99" s="15" t="n">
        <v>9</v>
      </c>
      <c r="I99" s="23" t="n">
        <v>2</v>
      </c>
      <c r="J99" s="23" t="n">
        <v>4</v>
      </c>
      <c r="K99" s="23" t="n">
        <v>2</v>
      </c>
      <c r="L99" s="23" t="n">
        <v>5</v>
      </c>
      <c r="M99" s="23" t="n">
        <v>0</v>
      </c>
      <c r="N99" s="23" t="n">
        <v>5</v>
      </c>
      <c r="O99" s="23" t="n">
        <v>2</v>
      </c>
      <c r="P99" s="23" t="n">
        <v>3</v>
      </c>
      <c r="Q99" s="23" t="n">
        <v>5</v>
      </c>
      <c r="R99" s="23" t="n">
        <v>3.5</v>
      </c>
      <c r="S99" s="23" t="n">
        <v>5</v>
      </c>
      <c r="T99" s="23" t="n">
        <v>0</v>
      </c>
      <c r="U99" s="18" t="s">
        <v>126</v>
      </c>
      <c r="V99" s="18"/>
      <c r="W99" s="28" t="n">
        <f aca="false">MIN(100,MAX(0,ROUND(SUMPRODUCT(I99:S99,$I$3:$S$3)/SUM($I$3:$S$3)/5*100+T99,1)))</f>
        <v>67.3</v>
      </c>
      <c r="X99" s="15" t="str">
        <f aca="false">IF(U99="Yes","No","Yes")</f>
        <v>Yes</v>
      </c>
      <c r="Y99" s="29" t="n">
        <f aca="false">IF(X99="Yes",W99,W99-1000)-ROW()/100000</f>
        <v>67.29901</v>
      </c>
      <c r="Z99" s="15" t="n">
        <f aca="false">RANK(Y99,$Y$5:$Y$172,0)</f>
        <v>32</v>
      </c>
      <c r="AA99" s="15" t="str">
        <f aca="false">IF(X99="No","Hold – resolve flag",IF(Z99&lt;=Weights!$C$18,"Tier 1 – Flagship launch",IF(OR(Z99&lt;=Weights!$C$19,AF99="Yes"),"Tier 2 – Priority",IF(Z99&lt;=Weights!$C$20,"Tier 3 – Standard rotation","Tier 4 – Reserve"))))</f>
        <v>Tier 2 – Priority</v>
      </c>
      <c r="AB99" s="18" t="s">
        <v>778</v>
      </c>
      <c r="AC99" s="27" t="s">
        <v>779</v>
      </c>
      <c r="AD99" s="18" t="s">
        <v>129</v>
      </c>
      <c r="AE99" s="15" t="s">
        <v>130</v>
      </c>
      <c r="AF99" s="23" t="s">
        <v>131</v>
      </c>
      <c r="AG99" s="29" t="n">
        <f aca="false">IF(OR(Z99&lt;=Weights!$C$19,AF99="Yes"),Y99,Y99-5000)</f>
        <v>67.29901</v>
      </c>
      <c r="AH99" s="15" t="n">
        <f aca="false">IF(OR(Z99&lt;=Weights!$C$19,AF99="Yes"),RANK(AG99,$AG$5:$AG$172,0),"")</f>
        <v>32</v>
      </c>
    </row>
    <row r="100" customFormat="false" ht="35.05" hidden="false" customHeight="false" outlineLevel="0" collapsed="false">
      <c r="A100" s="18" t="s">
        <v>780</v>
      </c>
      <c r="B100" s="27" t="s">
        <v>781</v>
      </c>
      <c r="C100" s="18" t="s">
        <v>782</v>
      </c>
      <c r="D100" s="18" t="s">
        <v>783</v>
      </c>
      <c r="E100" s="18" t="s">
        <v>784</v>
      </c>
      <c r="F100" s="18" t="s">
        <v>263</v>
      </c>
      <c r="G100" s="15" t="n">
        <v>2023</v>
      </c>
      <c r="H100" s="15" t="n">
        <v>11</v>
      </c>
      <c r="I100" s="23" t="n">
        <v>4</v>
      </c>
      <c r="J100" s="23" t="n">
        <v>4</v>
      </c>
      <c r="K100" s="23" t="n">
        <v>1</v>
      </c>
      <c r="L100" s="23" t="n">
        <v>5</v>
      </c>
      <c r="M100" s="23" t="n">
        <v>0</v>
      </c>
      <c r="N100" s="23" t="n">
        <v>0</v>
      </c>
      <c r="O100" s="23" t="n">
        <v>2</v>
      </c>
      <c r="P100" s="23" t="n">
        <v>2.2</v>
      </c>
      <c r="Q100" s="23" t="n">
        <v>4</v>
      </c>
      <c r="R100" s="23" t="n">
        <v>3.5</v>
      </c>
      <c r="S100" s="23" t="n">
        <v>3</v>
      </c>
      <c r="T100" s="23" t="n">
        <v>0</v>
      </c>
      <c r="U100" s="18" t="s">
        <v>126</v>
      </c>
      <c r="V100" s="18"/>
      <c r="W100" s="28" t="n">
        <f aca="false">MIN(100,MAX(0,ROUND(SUMPRODUCT(I100:S100,$I$3:$S$3)/SUM($I$3:$S$3)/5*100+T100,1)))</f>
        <v>56.8</v>
      </c>
      <c r="X100" s="15" t="str">
        <f aca="false">IF(U100="Yes","No","Yes")</f>
        <v>Yes</v>
      </c>
      <c r="Y100" s="29" t="n">
        <f aca="false">IF(X100="Yes",W100,W100-1000)-ROW()/100000</f>
        <v>56.799</v>
      </c>
      <c r="Z100" s="15" t="n">
        <f aca="false">RANK(Y100,$Y$5:$Y$172,0)</f>
        <v>106</v>
      </c>
      <c r="AA100" s="15" t="str">
        <f aca="false">IF(X100="No","Hold – resolve flag",IF(Z100&lt;=Weights!$C$18,"Tier 1 – Flagship launch",IF(OR(Z100&lt;=Weights!$C$19,AF100="Yes"),"Tier 2 – Priority",IF(Z100&lt;=Weights!$C$20,"Tier 3 – Standard rotation","Tier 4 – Reserve"))))</f>
        <v>Tier 4 – Reserve</v>
      </c>
      <c r="AB100" s="18" t="s">
        <v>785</v>
      </c>
      <c r="AC100" s="27" t="s">
        <v>786</v>
      </c>
      <c r="AD100" s="18" t="s">
        <v>129</v>
      </c>
      <c r="AE100" s="15" t="s">
        <v>130</v>
      </c>
      <c r="AF100" s="23" t="s">
        <v>126</v>
      </c>
      <c r="AG100" s="29" t="n">
        <f aca="false">IF(OR(Z100&lt;=Weights!$C$19,AF100="Yes"),Y100,Y100-5000)</f>
        <v>-4943.201</v>
      </c>
      <c r="AH100" s="15" t="str">
        <f aca="false">IF(OR(Z100&lt;=Weights!$C$19,AF100="Yes"),RANK(AG100,$AG$5:$AG$172,0),"")</f>
        <v/>
      </c>
    </row>
    <row r="101" customFormat="false" ht="35.05" hidden="false" customHeight="false" outlineLevel="0" collapsed="false">
      <c r="A101" s="18" t="s">
        <v>787</v>
      </c>
      <c r="B101" s="27" t="s">
        <v>788</v>
      </c>
      <c r="C101" s="18" t="s">
        <v>789</v>
      </c>
      <c r="D101" s="18" t="s">
        <v>478</v>
      </c>
      <c r="E101" s="18" t="s">
        <v>204</v>
      </c>
      <c r="F101" s="18" t="s">
        <v>125</v>
      </c>
      <c r="G101" s="15" t="n">
        <v>2023</v>
      </c>
      <c r="H101" s="15" t="n">
        <v>1</v>
      </c>
      <c r="I101" s="23" t="n">
        <v>5</v>
      </c>
      <c r="J101" s="23" t="n">
        <v>5</v>
      </c>
      <c r="K101" s="23" t="n">
        <v>5</v>
      </c>
      <c r="L101" s="23" t="n">
        <v>5</v>
      </c>
      <c r="M101" s="23" t="n">
        <v>0</v>
      </c>
      <c r="N101" s="23" t="n">
        <v>3</v>
      </c>
      <c r="O101" s="23" t="n">
        <v>5</v>
      </c>
      <c r="P101" s="23" t="n">
        <v>5</v>
      </c>
      <c r="Q101" s="23" t="n">
        <v>5</v>
      </c>
      <c r="R101" s="23" t="n">
        <v>3.5</v>
      </c>
      <c r="S101" s="23" t="n">
        <v>5</v>
      </c>
      <c r="T101" s="23" t="n">
        <v>0</v>
      </c>
      <c r="U101" s="18" t="s">
        <v>126</v>
      </c>
      <c r="V101" s="18"/>
      <c r="W101" s="28" t="n">
        <f aca="false">MIN(100,MAX(0,ROUND(SUMPRODUCT(I101:S101,$I$3:$S$3)/SUM($I$3:$S$3)/5*100+T101,1)))</f>
        <v>86.1</v>
      </c>
      <c r="X101" s="15" t="str">
        <f aca="false">IF(U101="Yes","No","Yes")</f>
        <v>Yes</v>
      </c>
      <c r="Y101" s="29" t="n">
        <f aca="false">IF(X101="Yes",W101,W101-1000)-ROW()/100000</f>
        <v>86.09899</v>
      </c>
      <c r="Z101" s="15" t="n">
        <f aca="false">RANK(Y101,$Y$5:$Y$172,0)</f>
        <v>1</v>
      </c>
      <c r="AA101" s="15" t="str">
        <f aca="false">IF(X101="No","Hold – resolve flag",IF(Z101&lt;=Weights!$C$18,"Tier 1 – Flagship launch",IF(OR(Z101&lt;=Weights!$C$19,AF101="Yes"),"Tier 2 – Priority",IF(Z101&lt;=Weights!$C$20,"Tier 3 – Standard rotation","Tier 4 – Reserve"))))</f>
        <v>Tier 1 – Flagship launch</v>
      </c>
      <c r="AB101" s="18" t="s">
        <v>790</v>
      </c>
      <c r="AC101" s="27" t="s">
        <v>791</v>
      </c>
      <c r="AD101" s="18" t="s">
        <v>129</v>
      </c>
      <c r="AE101" s="15" t="s">
        <v>130</v>
      </c>
      <c r="AF101" s="23" t="s">
        <v>126</v>
      </c>
      <c r="AG101" s="29" t="n">
        <f aca="false">IF(OR(Z101&lt;=Weights!$C$19,AF101="Yes"),Y101,Y101-5000)</f>
        <v>86.09899</v>
      </c>
      <c r="AH101" s="15" t="n">
        <f aca="false">IF(OR(Z101&lt;=Weights!$C$19,AF101="Yes"),RANK(AG101,$AG$5:$AG$172,0),"")</f>
        <v>1</v>
      </c>
    </row>
    <row r="102" customFormat="false" ht="35.05" hidden="false" customHeight="false" outlineLevel="0" collapsed="false">
      <c r="A102" s="18" t="s">
        <v>792</v>
      </c>
      <c r="B102" s="27" t="s">
        <v>793</v>
      </c>
      <c r="C102" s="18" t="s">
        <v>794</v>
      </c>
      <c r="D102" s="18" t="s">
        <v>795</v>
      </c>
      <c r="E102" s="18" t="s">
        <v>204</v>
      </c>
      <c r="F102" s="18" t="s">
        <v>213</v>
      </c>
      <c r="G102" s="15" t="n">
        <v>2023</v>
      </c>
      <c r="H102" s="15" t="n">
        <v>1</v>
      </c>
      <c r="I102" s="23" t="n">
        <v>5</v>
      </c>
      <c r="J102" s="23" t="n">
        <v>2</v>
      </c>
      <c r="K102" s="23" t="n">
        <v>5</v>
      </c>
      <c r="L102" s="23" t="n">
        <v>5</v>
      </c>
      <c r="M102" s="23" t="n">
        <v>0</v>
      </c>
      <c r="N102" s="23" t="n">
        <v>0</v>
      </c>
      <c r="O102" s="23" t="n">
        <v>2</v>
      </c>
      <c r="P102" s="23" t="n">
        <v>2.2</v>
      </c>
      <c r="Q102" s="23" t="n">
        <v>1.6</v>
      </c>
      <c r="R102" s="23" t="n">
        <v>3.5</v>
      </c>
      <c r="S102" s="23" t="n">
        <v>5</v>
      </c>
      <c r="T102" s="23" t="n">
        <v>0</v>
      </c>
      <c r="U102" s="18" t="s">
        <v>126</v>
      </c>
      <c r="V102" s="18"/>
      <c r="W102" s="28" t="n">
        <f aca="false">MIN(100,MAX(0,ROUND(SUMPRODUCT(I102:S102,$I$3:$S$3)/SUM($I$3:$S$3)/5*100+T102,1)))</f>
        <v>59.4</v>
      </c>
      <c r="X102" s="15" t="str">
        <f aca="false">IF(U102="Yes","No","Yes")</f>
        <v>Yes</v>
      </c>
      <c r="Y102" s="29" t="n">
        <f aca="false">IF(X102="Yes",W102,W102-1000)-ROW()/100000</f>
        <v>59.39898</v>
      </c>
      <c r="Z102" s="15" t="n">
        <f aca="false">RANK(Y102,$Y$5:$Y$172,0)</f>
        <v>88</v>
      </c>
      <c r="AA102" s="15" t="str">
        <f aca="false">IF(X102="No","Hold – resolve flag",IF(Z102&lt;=Weights!$C$18,"Tier 1 – Flagship launch",IF(OR(Z102&lt;=Weights!$C$19,AF102="Yes"),"Tier 2 – Priority",IF(Z102&lt;=Weights!$C$20,"Tier 3 – Standard rotation","Tier 4 – Reserve"))))</f>
        <v>Tier 4 – Reserve</v>
      </c>
      <c r="AB102" s="18" t="s">
        <v>796</v>
      </c>
      <c r="AC102" s="27" t="s">
        <v>797</v>
      </c>
      <c r="AD102" s="18" t="s">
        <v>798</v>
      </c>
      <c r="AE102" s="15" t="s">
        <v>130</v>
      </c>
      <c r="AF102" s="23" t="s">
        <v>126</v>
      </c>
      <c r="AG102" s="29" t="n">
        <f aca="false">IF(OR(Z102&lt;=Weights!$C$19,AF102="Yes"),Y102,Y102-5000)</f>
        <v>-4940.60102</v>
      </c>
      <c r="AH102" s="15" t="str">
        <f aca="false">IF(OR(Z102&lt;=Weights!$C$19,AF102="Yes"),RANK(AG102,$AG$5:$AG$172,0),"")</f>
        <v/>
      </c>
    </row>
    <row r="103" customFormat="false" ht="35.05" hidden="false" customHeight="false" outlineLevel="0" collapsed="false">
      <c r="A103" s="18" t="s">
        <v>799</v>
      </c>
      <c r="B103" s="27" t="s">
        <v>800</v>
      </c>
      <c r="C103" s="18" t="s">
        <v>801</v>
      </c>
      <c r="D103" s="18" t="s">
        <v>802</v>
      </c>
      <c r="E103" s="18" t="s">
        <v>803</v>
      </c>
      <c r="F103" s="18" t="s">
        <v>153</v>
      </c>
      <c r="G103" s="15" t="n">
        <v>2023</v>
      </c>
      <c r="H103" s="15" t="n">
        <v>7</v>
      </c>
      <c r="I103" s="23" t="n">
        <v>4</v>
      </c>
      <c r="J103" s="23" t="n">
        <v>5</v>
      </c>
      <c r="K103" s="23" t="n">
        <v>3</v>
      </c>
      <c r="L103" s="23" t="n">
        <v>5</v>
      </c>
      <c r="M103" s="23" t="n">
        <v>0</v>
      </c>
      <c r="N103" s="23" t="n">
        <v>0</v>
      </c>
      <c r="O103" s="23" t="n">
        <v>2</v>
      </c>
      <c r="P103" s="23" t="n">
        <v>3</v>
      </c>
      <c r="Q103" s="23" t="n">
        <v>4.6</v>
      </c>
      <c r="R103" s="23" t="n">
        <v>3.5</v>
      </c>
      <c r="S103" s="23" t="n">
        <v>3</v>
      </c>
      <c r="T103" s="23" t="n">
        <v>0</v>
      </c>
      <c r="U103" s="18" t="s">
        <v>126</v>
      </c>
      <c r="V103" s="18"/>
      <c r="W103" s="28" t="n">
        <f aca="false">MIN(100,MAX(0,ROUND(SUMPRODUCT(I103:S103,$I$3:$S$3)/SUM($I$3:$S$3)/5*100+T103,1)))</f>
        <v>64.7</v>
      </c>
      <c r="X103" s="15" t="str">
        <f aca="false">IF(U103="Yes","No","Yes")</f>
        <v>Yes</v>
      </c>
      <c r="Y103" s="29" t="n">
        <f aca="false">IF(X103="Yes",W103,W103-1000)-ROW()/100000</f>
        <v>64.69897</v>
      </c>
      <c r="Z103" s="15" t="n">
        <f aca="false">RANK(Y103,$Y$5:$Y$172,0)</f>
        <v>47</v>
      </c>
      <c r="AA103" s="15" t="str">
        <f aca="false">IF(X103="No","Hold – resolve flag",IF(Z103&lt;=Weights!$C$18,"Tier 1 – Flagship launch",IF(OR(Z103&lt;=Weights!$C$19,AF103="Yes"),"Tier 2 – Priority",IF(Z103&lt;=Weights!$C$20,"Tier 3 – Standard rotation","Tier 4 – Reserve"))))</f>
        <v>Tier 2 – Priority</v>
      </c>
      <c r="AB103" s="18" t="s">
        <v>804</v>
      </c>
      <c r="AC103" s="27" t="s">
        <v>805</v>
      </c>
      <c r="AD103" s="18" t="s">
        <v>129</v>
      </c>
      <c r="AE103" s="15" t="s">
        <v>130</v>
      </c>
      <c r="AF103" s="23" t="s">
        <v>131</v>
      </c>
      <c r="AG103" s="29" t="n">
        <f aca="false">IF(OR(Z103&lt;=Weights!$C$19,AF103="Yes"),Y103,Y103-5000)</f>
        <v>64.69897</v>
      </c>
      <c r="AH103" s="15" t="n">
        <f aca="false">IF(OR(Z103&lt;=Weights!$C$19,AF103="Yes"),RANK(AG103,$AG$5:$AG$172,0),"")</f>
        <v>37</v>
      </c>
    </row>
    <row r="104" customFormat="false" ht="35.05" hidden="false" customHeight="false" outlineLevel="0" collapsed="false">
      <c r="A104" s="18" t="s">
        <v>806</v>
      </c>
      <c r="B104" s="27" t="s">
        <v>807</v>
      </c>
      <c r="C104" s="18" t="s">
        <v>808</v>
      </c>
      <c r="D104" s="18" t="s">
        <v>809</v>
      </c>
      <c r="E104" s="18" t="s">
        <v>810</v>
      </c>
      <c r="F104" s="18" t="s">
        <v>146</v>
      </c>
      <c r="G104" s="15" t="n">
        <v>2023</v>
      </c>
      <c r="H104" s="15" t="s">
        <v>138</v>
      </c>
      <c r="I104" s="23" t="n">
        <v>2</v>
      </c>
      <c r="J104" s="23" t="n">
        <v>4</v>
      </c>
      <c r="K104" s="23" t="n">
        <v>2</v>
      </c>
      <c r="L104" s="23" t="n">
        <v>5</v>
      </c>
      <c r="M104" s="23" t="n">
        <v>3</v>
      </c>
      <c r="N104" s="23" t="n">
        <v>0</v>
      </c>
      <c r="O104" s="23" t="n">
        <v>5</v>
      </c>
      <c r="P104" s="23" t="n">
        <v>5</v>
      </c>
      <c r="Q104" s="23" t="n">
        <v>4.6</v>
      </c>
      <c r="R104" s="23" t="n">
        <v>3.8</v>
      </c>
      <c r="S104" s="23" t="n">
        <v>5</v>
      </c>
      <c r="T104" s="23" t="n">
        <v>0</v>
      </c>
      <c r="U104" s="18" t="s">
        <v>126</v>
      </c>
      <c r="V104" s="18"/>
      <c r="W104" s="28" t="n">
        <f aca="false">MIN(100,MAX(0,ROUND(SUMPRODUCT(I104:S104,$I$3:$S$3)/SUM($I$3:$S$3)/5*100+T104,1)))</f>
        <v>75</v>
      </c>
      <c r="X104" s="15" t="str">
        <f aca="false">IF(U104="Yes","No","Yes")</f>
        <v>Yes</v>
      </c>
      <c r="Y104" s="29" t="n">
        <f aca="false">IF(X104="Yes",W104,W104-1000)-ROW()/100000</f>
        <v>74.99896</v>
      </c>
      <c r="Z104" s="15" t="n">
        <f aca="false">RANK(Y104,$Y$5:$Y$172,0)</f>
        <v>5</v>
      </c>
      <c r="AA104" s="15" t="str">
        <f aca="false">IF(X104="No","Hold – resolve flag",IF(Z104&lt;=Weights!$C$18,"Tier 1 – Flagship launch",IF(OR(Z104&lt;=Weights!$C$19,AF104="Yes"),"Tier 2 – Priority",IF(Z104&lt;=Weights!$C$20,"Tier 3 – Standard rotation","Tier 4 – Reserve"))))</f>
        <v>Tier 1 – Flagship launch</v>
      </c>
      <c r="AB104" s="18" t="s">
        <v>811</v>
      </c>
      <c r="AC104" s="27" t="s">
        <v>812</v>
      </c>
      <c r="AD104" s="18" t="s">
        <v>129</v>
      </c>
      <c r="AE104" s="15" t="s">
        <v>130</v>
      </c>
      <c r="AF104" s="23" t="s">
        <v>126</v>
      </c>
      <c r="AG104" s="29" t="n">
        <f aca="false">IF(OR(Z104&lt;=Weights!$C$19,AF104="Yes"),Y104,Y104-5000)</f>
        <v>74.99896</v>
      </c>
      <c r="AH104" s="15" t="n">
        <f aca="false">IF(OR(Z104&lt;=Weights!$C$19,AF104="Yes"),RANK(AG104,$AG$5:$AG$172,0),"")</f>
        <v>5</v>
      </c>
    </row>
    <row r="105" customFormat="false" ht="35.05" hidden="false" customHeight="false" outlineLevel="0" collapsed="false">
      <c r="A105" s="18" t="s">
        <v>813</v>
      </c>
      <c r="B105" s="27" t="s">
        <v>814</v>
      </c>
      <c r="C105" s="18" t="s">
        <v>815</v>
      </c>
      <c r="D105" s="18" t="s">
        <v>816</v>
      </c>
      <c r="E105" s="18" t="s">
        <v>817</v>
      </c>
      <c r="F105" s="18" t="s">
        <v>125</v>
      </c>
      <c r="G105" s="15" t="n">
        <v>2026</v>
      </c>
      <c r="H105" s="15" t="s">
        <v>138</v>
      </c>
      <c r="I105" s="23" t="n">
        <v>5</v>
      </c>
      <c r="J105" s="23" t="n">
        <v>5</v>
      </c>
      <c r="K105" s="23" t="n">
        <v>2</v>
      </c>
      <c r="L105" s="23" t="n">
        <v>5</v>
      </c>
      <c r="M105" s="23" t="n">
        <v>0</v>
      </c>
      <c r="N105" s="23" t="n">
        <v>0</v>
      </c>
      <c r="O105" s="23" t="n">
        <v>2</v>
      </c>
      <c r="P105" s="23" t="n">
        <v>3.5</v>
      </c>
      <c r="Q105" s="23" t="n">
        <v>5</v>
      </c>
      <c r="R105" s="23" t="n">
        <v>3.5</v>
      </c>
      <c r="S105" s="23" t="n">
        <v>5</v>
      </c>
      <c r="T105" s="23" t="n">
        <v>0</v>
      </c>
      <c r="U105" s="18" t="s">
        <v>126</v>
      </c>
      <c r="V105" s="18"/>
      <c r="W105" s="28" t="n">
        <f aca="false">MIN(100,MAX(0,ROUND(SUMPRODUCT(I105:S105,$I$3:$S$3)/SUM($I$3:$S$3)/5*100+T105,1)))</f>
        <v>69.3</v>
      </c>
      <c r="X105" s="15" t="str">
        <f aca="false">IF(U105="Yes","No","Yes")</f>
        <v>Yes</v>
      </c>
      <c r="Y105" s="29" t="n">
        <f aca="false">IF(X105="Yes",W105,W105-1000)-ROW()/100000</f>
        <v>69.29895</v>
      </c>
      <c r="Z105" s="15" t="n">
        <f aca="false">RANK(Y105,$Y$5:$Y$172,0)</f>
        <v>20</v>
      </c>
      <c r="AA105" s="15" t="str">
        <f aca="false">IF(X105="No","Hold – resolve flag",IF(Z105&lt;=Weights!$C$18,"Tier 1 – Flagship launch",IF(OR(Z105&lt;=Weights!$C$19,AF105="Yes"),"Tier 2 – Priority",IF(Z105&lt;=Weights!$C$20,"Tier 3 – Standard rotation","Tier 4 – Reserve"))))</f>
        <v>Tier 2 – Priority</v>
      </c>
      <c r="AB105" s="18" t="s">
        <v>818</v>
      </c>
      <c r="AC105" s="27" t="s">
        <v>819</v>
      </c>
      <c r="AD105" s="18" t="s">
        <v>129</v>
      </c>
      <c r="AE105" s="15" t="s">
        <v>130</v>
      </c>
      <c r="AF105" s="23" t="s">
        <v>126</v>
      </c>
      <c r="AG105" s="29" t="n">
        <f aca="false">IF(OR(Z105&lt;=Weights!$C$19,AF105="Yes"),Y105,Y105-5000)</f>
        <v>69.29895</v>
      </c>
      <c r="AH105" s="15" t="n">
        <f aca="false">IF(OR(Z105&lt;=Weights!$C$19,AF105="Yes"),RANK(AG105,$AG$5:$AG$172,0),"")</f>
        <v>20</v>
      </c>
    </row>
    <row r="106" customFormat="false" ht="35.05" hidden="false" customHeight="false" outlineLevel="0" collapsed="false">
      <c r="A106" s="18" t="s">
        <v>820</v>
      </c>
      <c r="B106" s="27" t="s">
        <v>821</v>
      </c>
      <c r="C106" s="18" t="s">
        <v>822</v>
      </c>
      <c r="D106" s="18" t="s">
        <v>144</v>
      </c>
      <c r="E106" s="18" t="s">
        <v>823</v>
      </c>
      <c r="F106" s="18" t="s">
        <v>125</v>
      </c>
      <c r="G106" s="15" t="n">
        <v>2026</v>
      </c>
      <c r="H106" s="15" t="s">
        <v>138</v>
      </c>
      <c r="I106" s="23" t="n">
        <v>5</v>
      </c>
      <c r="J106" s="23" t="n">
        <v>3</v>
      </c>
      <c r="K106" s="23" t="n">
        <v>2</v>
      </c>
      <c r="L106" s="23" t="n">
        <v>4</v>
      </c>
      <c r="M106" s="23" t="n">
        <v>0</v>
      </c>
      <c r="N106" s="23" t="n">
        <v>0</v>
      </c>
      <c r="O106" s="23" t="n">
        <v>4</v>
      </c>
      <c r="P106" s="23" t="n">
        <v>5</v>
      </c>
      <c r="Q106" s="23" t="n">
        <v>5</v>
      </c>
      <c r="R106" s="23" t="n">
        <v>3.5</v>
      </c>
      <c r="S106" s="23" t="n">
        <v>5</v>
      </c>
      <c r="T106" s="23" t="n">
        <v>0</v>
      </c>
      <c r="U106" s="18" t="s">
        <v>126</v>
      </c>
      <c r="V106" s="18"/>
      <c r="W106" s="28" t="n">
        <f aca="false">MIN(100,MAX(0,ROUND(SUMPRODUCT(I106:S106,$I$3:$S$3)/SUM($I$3:$S$3)/5*100+T106,1)))</f>
        <v>68.9</v>
      </c>
      <c r="X106" s="15" t="str">
        <f aca="false">IF(U106="Yes","No","Yes")</f>
        <v>Yes</v>
      </c>
      <c r="Y106" s="29" t="n">
        <f aca="false">IF(X106="Yes",W106,W106-1000)-ROW()/100000</f>
        <v>68.89894</v>
      </c>
      <c r="Z106" s="15" t="n">
        <f aca="false">RANK(Y106,$Y$5:$Y$172,0)</f>
        <v>21</v>
      </c>
      <c r="AA106" s="15" t="str">
        <f aca="false">IF(X106="No","Hold – resolve flag",IF(Z106&lt;=Weights!$C$18,"Tier 1 – Flagship launch",IF(OR(Z106&lt;=Weights!$C$19,AF106="Yes"),"Tier 2 – Priority",IF(Z106&lt;=Weights!$C$20,"Tier 3 – Standard rotation","Tier 4 – Reserve"))))</f>
        <v>Tier 2 – Priority</v>
      </c>
      <c r="AB106" s="18" t="s">
        <v>824</v>
      </c>
      <c r="AC106" s="27" t="s">
        <v>825</v>
      </c>
      <c r="AD106" s="18" t="s">
        <v>129</v>
      </c>
      <c r="AE106" s="15" t="s">
        <v>130</v>
      </c>
      <c r="AF106" s="23" t="s">
        <v>126</v>
      </c>
      <c r="AG106" s="29" t="n">
        <f aca="false">IF(OR(Z106&lt;=Weights!$C$19,AF106="Yes"),Y106,Y106-5000)</f>
        <v>68.89894</v>
      </c>
      <c r="AH106" s="15" t="n">
        <f aca="false">IF(OR(Z106&lt;=Weights!$C$19,AF106="Yes"),RANK(AG106,$AG$5:$AG$172,0),"")</f>
        <v>21</v>
      </c>
    </row>
    <row r="107" customFormat="false" ht="46.25" hidden="false" customHeight="false" outlineLevel="0" collapsed="false">
      <c r="A107" s="18" t="s">
        <v>826</v>
      </c>
      <c r="B107" s="27" t="s">
        <v>827</v>
      </c>
      <c r="C107" s="18" t="s">
        <v>828</v>
      </c>
      <c r="D107" s="18" t="s">
        <v>275</v>
      </c>
      <c r="E107" s="18" t="s">
        <v>369</v>
      </c>
      <c r="F107" s="18" t="s">
        <v>829</v>
      </c>
      <c r="G107" s="15" t="n">
        <v>2026</v>
      </c>
      <c r="H107" s="15" t="n">
        <v>2</v>
      </c>
      <c r="I107" s="23" t="n">
        <v>5</v>
      </c>
      <c r="J107" s="23" t="n">
        <v>4</v>
      </c>
      <c r="K107" s="23" t="n">
        <v>5</v>
      </c>
      <c r="L107" s="23" t="n">
        <v>0</v>
      </c>
      <c r="M107" s="23" t="n">
        <v>0</v>
      </c>
      <c r="N107" s="23" t="n">
        <v>0</v>
      </c>
      <c r="O107" s="23" t="n">
        <v>5</v>
      </c>
      <c r="P107" s="23" t="n">
        <v>5</v>
      </c>
      <c r="Q107" s="23" t="n">
        <v>5</v>
      </c>
      <c r="R107" s="23" t="n">
        <v>4.5</v>
      </c>
      <c r="S107" s="23" t="n">
        <v>5</v>
      </c>
      <c r="T107" s="23" t="n">
        <v>0</v>
      </c>
      <c r="U107" s="18" t="s">
        <v>126</v>
      </c>
      <c r="V107" s="18"/>
      <c r="W107" s="28" t="n">
        <f aca="false">MIN(100,MAX(0,ROUND(SUMPRODUCT(I107:S107,$I$3:$S$3)/SUM($I$3:$S$3)/5*100+T107,1)))</f>
        <v>73.1</v>
      </c>
      <c r="X107" s="15" t="str">
        <f aca="false">IF(U107="Yes","No","Yes")</f>
        <v>Yes</v>
      </c>
      <c r="Y107" s="29" t="n">
        <f aca="false">IF(X107="Yes",W107,W107-1000)-ROW()/100000</f>
        <v>73.09893</v>
      </c>
      <c r="Z107" s="15" t="n">
        <f aca="false">RANK(Y107,$Y$5:$Y$172,0)</f>
        <v>10</v>
      </c>
      <c r="AA107" s="15" t="str">
        <f aca="false">IF(X107="No","Hold – resolve flag",IF(Z107&lt;=Weights!$C$18,"Tier 1 – Flagship launch",IF(OR(Z107&lt;=Weights!$C$19,AF107="Yes"),"Tier 2 – Priority",IF(Z107&lt;=Weights!$C$20,"Tier 3 – Standard rotation","Tier 4 – Reserve"))))</f>
        <v>Tier 1 – Flagship launch</v>
      </c>
      <c r="AB107" s="18" t="s">
        <v>830</v>
      </c>
      <c r="AC107" s="27" t="s">
        <v>831</v>
      </c>
      <c r="AD107" s="18" t="s">
        <v>129</v>
      </c>
      <c r="AE107" s="15" t="s">
        <v>130</v>
      </c>
      <c r="AF107" s="23" t="s">
        <v>126</v>
      </c>
      <c r="AG107" s="29" t="n">
        <f aca="false">IF(OR(Z107&lt;=Weights!$C$19,AF107="Yes"),Y107,Y107-5000)</f>
        <v>73.09893</v>
      </c>
      <c r="AH107" s="15" t="n">
        <f aca="false">IF(OR(Z107&lt;=Weights!$C$19,AF107="Yes"),RANK(AG107,$AG$5:$AG$172,0),"")</f>
        <v>10</v>
      </c>
    </row>
    <row r="108" customFormat="false" ht="35.05" hidden="false" customHeight="false" outlineLevel="0" collapsed="false">
      <c r="A108" s="18" t="s">
        <v>832</v>
      </c>
      <c r="B108" s="27" t="s">
        <v>833</v>
      </c>
      <c r="C108" s="18" t="s">
        <v>834</v>
      </c>
      <c r="D108" s="18" t="s">
        <v>835</v>
      </c>
      <c r="E108" s="18" t="s">
        <v>836</v>
      </c>
      <c r="F108" s="18" t="s">
        <v>146</v>
      </c>
      <c r="G108" s="15" t="n">
        <v>2023</v>
      </c>
      <c r="H108" s="15" t="n">
        <v>11</v>
      </c>
      <c r="I108" s="23" t="n">
        <v>4</v>
      </c>
      <c r="J108" s="23" t="n">
        <v>5</v>
      </c>
      <c r="K108" s="23" t="n">
        <v>1</v>
      </c>
      <c r="L108" s="23" t="n">
        <v>5</v>
      </c>
      <c r="M108" s="23" t="n">
        <v>0</v>
      </c>
      <c r="N108" s="23" t="n">
        <v>0</v>
      </c>
      <c r="O108" s="23" t="n">
        <v>2</v>
      </c>
      <c r="P108" s="23" t="n">
        <v>2.8</v>
      </c>
      <c r="Q108" s="23" t="n">
        <v>4.8</v>
      </c>
      <c r="R108" s="23" t="n">
        <v>3.5</v>
      </c>
      <c r="S108" s="23" t="n">
        <v>4</v>
      </c>
      <c r="T108" s="23" t="n">
        <v>0</v>
      </c>
      <c r="U108" s="18" t="s">
        <v>126</v>
      </c>
      <c r="V108" s="18"/>
      <c r="W108" s="28" t="n">
        <f aca="false">MIN(100,MAX(0,ROUND(SUMPRODUCT(I108:S108,$I$3:$S$3)/SUM($I$3:$S$3)/5*100+T108,1)))</f>
        <v>63.1</v>
      </c>
      <c r="X108" s="15" t="str">
        <f aca="false">IF(U108="Yes","No","Yes")</f>
        <v>Yes</v>
      </c>
      <c r="Y108" s="29" t="n">
        <f aca="false">IF(X108="Yes",W108,W108-1000)-ROW()/100000</f>
        <v>63.09892</v>
      </c>
      <c r="Z108" s="15" t="n">
        <f aca="false">RANK(Y108,$Y$5:$Y$172,0)</f>
        <v>58</v>
      </c>
      <c r="AA108" s="15" t="str">
        <f aca="false">IF(X108="No","Hold – resolve flag",IF(Z108&lt;=Weights!$C$18,"Tier 1 – Flagship launch",IF(OR(Z108&lt;=Weights!$C$19,AF108="Yes"),"Tier 2 – Priority",IF(Z108&lt;=Weights!$C$20,"Tier 3 – Standard rotation","Tier 4 – Reserve"))))</f>
        <v>Tier 3 – Standard rotation</v>
      </c>
      <c r="AB108" s="18" t="s">
        <v>837</v>
      </c>
      <c r="AC108" s="27" t="s">
        <v>838</v>
      </c>
      <c r="AD108" s="18" t="s">
        <v>129</v>
      </c>
      <c r="AE108" s="15" t="s">
        <v>130</v>
      </c>
      <c r="AF108" s="23" t="s">
        <v>126</v>
      </c>
      <c r="AG108" s="29" t="n">
        <f aca="false">IF(OR(Z108&lt;=Weights!$C$19,AF108="Yes"),Y108,Y108-5000)</f>
        <v>-4936.90108</v>
      </c>
      <c r="AH108" s="15" t="str">
        <f aca="false">IF(OR(Z108&lt;=Weights!$C$19,AF108="Yes"),RANK(AG108,$AG$5:$AG$172,0),"")</f>
        <v/>
      </c>
    </row>
    <row r="109" customFormat="false" ht="35.05" hidden="false" customHeight="false" outlineLevel="0" collapsed="false">
      <c r="A109" s="18" t="s">
        <v>839</v>
      </c>
      <c r="B109" s="27" t="s">
        <v>840</v>
      </c>
      <c r="C109" s="18" t="s">
        <v>841</v>
      </c>
      <c r="D109" s="18" t="s">
        <v>211</v>
      </c>
      <c r="E109" s="18" t="s">
        <v>842</v>
      </c>
      <c r="F109" s="18" t="s">
        <v>125</v>
      </c>
      <c r="G109" s="15" t="n">
        <v>2025</v>
      </c>
      <c r="H109" s="15" t="n">
        <v>1</v>
      </c>
      <c r="I109" s="23" t="n">
        <v>5</v>
      </c>
      <c r="J109" s="23" t="n">
        <v>5</v>
      </c>
      <c r="K109" s="23" t="n">
        <v>5</v>
      </c>
      <c r="L109" s="23" t="n">
        <v>5</v>
      </c>
      <c r="M109" s="23" t="n">
        <v>0</v>
      </c>
      <c r="N109" s="23" t="n">
        <v>5</v>
      </c>
      <c r="O109" s="23" t="n">
        <v>2</v>
      </c>
      <c r="P109" s="23" t="n">
        <v>2.8</v>
      </c>
      <c r="Q109" s="23" t="n">
        <v>4.8</v>
      </c>
      <c r="R109" s="23" t="n">
        <v>3.5</v>
      </c>
      <c r="S109" s="23" t="n">
        <v>5</v>
      </c>
      <c r="T109" s="23" t="n">
        <v>0</v>
      </c>
      <c r="U109" s="18" t="s">
        <v>126</v>
      </c>
      <c r="V109" s="18"/>
      <c r="W109" s="28" t="n">
        <f aca="false">MIN(100,MAX(0,ROUND(SUMPRODUCT(I109:S109,$I$3:$S$3)/SUM($I$3:$S$3)/5*100+T109,1)))</f>
        <v>78.7</v>
      </c>
      <c r="X109" s="15" t="str">
        <f aca="false">IF(U109="Yes","No","Yes")</f>
        <v>Yes</v>
      </c>
      <c r="Y109" s="29" t="n">
        <f aca="false">IF(X109="Yes",W109,W109-1000)-ROW()/100000</f>
        <v>78.69891</v>
      </c>
      <c r="Z109" s="15" t="n">
        <f aca="false">RANK(Y109,$Y$5:$Y$172,0)</f>
        <v>2</v>
      </c>
      <c r="AA109" s="15" t="str">
        <f aca="false">IF(X109="No","Hold – resolve flag",IF(Z109&lt;=Weights!$C$18,"Tier 1 – Flagship launch",IF(OR(Z109&lt;=Weights!$C$19,AF109="Yes"),"Tier 2 – Priority",IF(Z109&lt;=Weights!$C$20,"Tier 3 – Standard rotation","Tier 4 – Reserve"))))</f>
        <v>Tier 1 – Flagship launch</v>
      </c>
      <c r="AB109" s="18" t="s">
        <v>843</v>
      </c>
      <c r="AC109" s="27" t="s">
        <v>844</v>
      </c>
      <c r="AD109" s="18" t="s">
        <v>129</v>
      </c>
      <c r="AE109" s="15" t="s">
        <v>130</v>
      </c>
      <c r="AF109" s="23" t="s">
        <v>126</v>
      </c>
      <c r="AG109" s="29" t="n">
        <f aca="false">IF(OR(Z109&lt;=Weights!$C$19,AF109="Yes"),Y109,Y109-5000)</f>
        <v>78.69891</v>
      </c>
      <c r="AH109" s="15" t="n">
        <f aca="false">IF(OR(Z109&lt;=Weights!$C$19,AF109="Yes"),RANK(AG109,$AG$5:$AG$172,0),"")</f>
        <v>2</v>
      </c>
    </row>
    <row r="110" customFormat="false" ht="35.05" hidden="false" customHeight="false" outlineLevel="0" collapsed="false">
      <c r="A110" s="18" t="s">
        <v>845</v>
      </c>
      <c r="B110" s="27" t="s">
        <v>846</v>
      </c>
      <c r="C110" s="18" t="s">
        <v>847</v>
      </c>
      <c r="D110" s="18" t="s">
        <v>144</v>
      </c>
      <c r="E110" s="18" t="s">
        <v>848</v>
      </c>
      <c r="F110" s="18" t="s">
        <v>213</v>
      </c>
      <c r="G110" s="15" t="n">
        <v>2024</v>
      </c>
      <c r="H110" s="15" t="n">
        <v>3</v>
      </c>
      <c r="I110" s="23" t="n">
        <v>5</v>
      </c>
      <c r="J110" s="23" t="n">
        <v>3</v>
      </c>
      <c r="K110" s="23" t="n">
        <v>4</v>
      </c>
      <c r="L110" s="23" t="n">
        <v>4</v>
      </c>
      <c r="M110" s="23" t="n">
        <v>0</v>
      </c>
      <c r="N110" s="23" t="n">
        <v>5</v>
      </c>
      <c r="O110" s="23" t="n">
        <v>2</v>
      </c>
      <c r="P110" s="23" t="n">
        <v>2.2</v>
      </c>
      <c r="Q110" s="23" t="n">
        <v>4.8</v>
      </c>
      <c r="R110" s="23" t="n">
        <v>3.5</v>
      </c>
      <c r="S110" s="23" t="n">
        <v>4</v>
      </c>
      <c r="T110" s="23" t="n">
        <v>0</v>
      </c>
      <c r="U110" s="18" t="s">
        <v>126</v>
      </c>
      <c r="V110" s="18"/>
      <c r="W110" s="28" t="n">
        <f aca="false">MIN(100,MAX(0,ROUND(SUMPRODUCT(I110:S110,$I$3:$S$3)/SUM($I$3:$S$3)/5*100+T110,1)))</f>
        <v>67.7</v>
      </c>
      <c r="X110" s="15" t="str">
        <f aca="false">IF(U110="Yes","No","Yes")</f>
        <v>Yes</v>
      </c>
      <c r="Y110" s="29" t="n">
        <f aca="false">IF(X110="Yes",W110,W110-1000)-ROW()/100000</f>
        <v>67.6989</v>
      </c>
      <c r="Z110" s="15" t="n">
        <f aca="false">RANK(Y110,$Y$5:$Y$172,0)</f>
        <v>30</v>
      </c>
      <c r="AA110" s="15" t="str">
        <f aca="false">IF(X110="No","Hold – resolve flag",IF(Z110&lt;=Weights!$C$18,"Tier 1 – Flagship launch",IF(OR(Z110&lt;=Weights!$C$19,AF110="Yes"),"Tier 2 – Priority",IF(Z110&lt;=Weights!$C$20,"Tier 3 – Standard rotation","Tier 4 – Reserve"))))</f>
        <v>Tier 2 – Priority</v>
      </c>
      <c r="AB110" s="18" t="s">
        <v>849</v>
      </c>
      <c r="AC110" s="27" t="s">
        <v>850</v>
      </c>
      <c r="AD110" s="18" t="s">
        <v>129</v>
      </c>
      <c r="AE110" s="15" t="s">
        <v>130</v>
      </c>
      <c r="AF110" s="23" t="s">
        <v>126</v>
      </c>
      <c r="AG110" s="29" t="n">
        <f aca="false">IF(OR(Z110&lt;=Weights!$C$19,AF110="Yes"),Y110,Y110-5000)</f>
        <v>67.6989</v>
      </c>
      <c r="AH110" s="15" t="n">
        <f aca="false">IF(OR(Z110&lt;=Weights!$C$19,AF110="Yes"),RANK(AG110,$AG$5:$AG$172,0),"")</f>
        <v>30</v>
      </c>
    </row>
    <row r="111" customFormat="false" ht="35.05" hidden="false" customHeight="false" outlineLevel="0" collapsed="false">
      <c r="A111" s="18" t="s">
        <v>851</v>
      </c>
      <c r="B111" s="27" t="s">
        <v>852</v>
      </c>
      <c r="C111" s="18" t="s">
        <v>853</v>
      </c>
      <c r="D111" s="18" t="s">
        <v>854</v>
      </c>
      <c r="E111" s="18" t="s">
        <v>855</v>
      </c>
      <c r="F111" s="18" t="s">
        <v>213</v>
      </c>
      <c r="G111" s="15" t="n">
        <v>2024</v>
      </c>
      <c r="H111" s="15" t="n">
        <v>5</v>
      </c>
      <c r="I111" s="23" t="n">
        <v>5</v>
      </c>
      <c r="J111" s="23" t="n">
        <v>4</v>
      </c>
      <c r="K111" s="23" t="n">
        <v>3</v>
      </c>
      <c r="L111" s="23" t="n">
        <v>5</v>
      </c>
      <c r="M111" s="23" t="n">
        <v>0</v>
      </c>
      <c r="N111" s="23" t="n">
        <v>5</v>
      </c>
      <c r="O111" s="23" t="n">
        <v>2</v>
      </c>
      <c r="P111" s="23" t="n">
        <v>2.8</v>
      </c>
      <c r="Q111" s="23" t="n">
        <v>4.8</v>
      </c>
      <c r="R111" s="23" t="n">
        <v>3.5</v>
      </c>
      <c r="S111" s="23" t="n">
        <v>5</v>
      </c>
      <c r="T111" s="23" t="n">
        <v>0</v>
      </c>
      <c r="U111" s="18" t="s">
        <v>126</v>
      </c>
      <c r="V111" s="18"/>
      <c r="W111" s="28" t="n">
        <f aca="false">MIN(100,MAX(0,ROUND(SUMPRODUCT(I111:S111,$I$3:$S$3)/SUM($I$3:$S$3)/5*100+T111,1)))</f>
        <v>73.1</v>
      </c>
      <c r="X111" s="15" t="str">
        <f aca="false">IF(U111="Yes","No","Yes")</f>
        <v>Yes</v>
      </c>
      <c r="Y111" s="29" t="n">
        <f aca="false">IF(X111="Yes",W111,W111-1000)-ROW()/100000</f>
        <v>73.09889</v>
      </c>
      <c r="Z111" s="15" t="n">
        <f aca="false">RANK(Y111,$Y$5:$Y$172,0)</f>
        <v>11</v>
      </c>
      <c r="AA111" s="15" t="str">
        <f aca="false">IF(X111="No","Hold – resolve flag",IF(Z111&lt;=Weights!$C$18,"Tier 1 – Flagship launch",IF(OR(Z111&lt;=Weights!$C$19,AF111="Yes"),"Tier 2 – Priority",IF(Z111&lt;=Weights!$C$20,"Tier 3 – Standard rotation","Tier 4 – Reserve"))))</f>
        <v>Tier 2 – Priority</v>
      </c>
      <c r="AB111" s="18" t="s">
        <v>856</v>
      </c>
      <c r="AC111" s="27" t="s">
        <v>857</v>
      </c>
      <c r="AD111" s="18" t="s">
        <v>129</v>
      </c>
      <c r="AE111" s="15" t="s">
        <v>130</v>
      </c>
      <c r="AF111" s="23" t="s">
        <v>131</v>
      </c>
      <c r="AG111" s="29" t="n">
        <f aca="false">IF(OR(Z111&lt;=Weights!$C$19,AF111="Yes"),Y111,Y111-5000)</f>
        <v>73.09889</v>
      </c>
      <c r="AH111" s="15" t="n">
        <f aca="false">IF(OR(Z111&lt;=Weights!$C$19,AF111="Yes"),RANK(AG111,$AG$5:$AG$172,0),"")</f>
        <v>11</v>
      </c>
    </row>
    <row r="112" customFormat="false" ht="35.05" hidden="false" customHeight="false" outlineLevel="0" collapsed="false">
      <c r="A112" s="18" t="s">
        <v>858</v>
      </c>
      <c r="B112" s="27" t="s">
        <v>859</v>
      </c>
      <c r="C112" s="18" t="s">
        <v>860</v>
      </c>
      <c r="D112" s="18" t="s">
        <v>861</v>
      </c>
      <c r="E112" s="18" t="s">
        <v>862</v>
      </c>
      <c r="F112" s="18" t="s">
        <v>213</v>
      </c>
      <c r="G112" s="15" t="n">
        <v>2023</v>
      </c>
      <c r="H112" s="15" t="n">
        <v>1</v>
      </c>
      <c r="I112" s="23" t="n">
        <v>5</v>
      </c>
      <c r="J112" s="23" t="n">
        <v>5</v>
      </c>
      <c r="K112" s="23" t="n">
        <v>5</v>
      </c>
      <c r="L112" s="23" t="n">
        <v>5</v>
      </c>
      <c r="M112" s="23" t="n">
        <v>0</v>
      </c>
      <c r="N112" s="23" t="n">
        <v>3</v>
      </c>
      <c r="O112" s="23" t="n">
        <v>2</v>
      </c>
      <c r="P112" s="23" t="n">
        <v>2.2</v>
      </c>
      <c r="Q112" s="23" t="n">
        <v>4.8</v>
      </c>
      <c r="R112" s="23" t="n">
        <v>3.5</v>
      </c>
      <c r="S112" s="23" t="n">
        <v>5</v>
      </c>
      <c r="T112" s="23" t="n">
        <v>0</v>
      </c>
      <c r="U112" s="18" t="s">
        <v>126</v>
      </c>
      <c r="V112" s="18"/>
      <c r="W112" s="28" t="n">
        <f aca="false">MIN(100,MAX(0,ROUND(SUMPRODUCT(I112:S112,$I$3:$S$3)/SUM($I$3:$S$3)/5*100+T112,1)))</f>
        <v>75.3</v>
      </c>
      <c r="X112" s="15" t="str">
        <f aca="false">IF(U112="Yes","No","Yes")</f>
        <v>Yes</v>
      </c>
      <c r="Y112" s="29" t="n">
        <f aca="false">IF(X112="Yes",W112,W112-1000)-ROW()/100000</f>
        <v>75.29888</v>
      </c>
      <c r="Z112" s="15" t="n">
        <f aca="false">RANK(Y112,$Y$5:$Y$172,0)</f>
        <v>4</v>
      </c>
      <c r="AA112" s="15" t="str">
        <f aca="false">IF(X112="No","Hold – resolve flag",IF(Z112&lt;=Weights!$C$18,"Tier 1 – Flagship launch",IF(OR(Z112&lt;=Weights!$C$19,AF112="Yes"),"Tier 2 – Priority",IF(Z112&lt;=Weights!$C$20,"Tier 3 – Standard rotation","Tier 4 – Reserve"))))</f>
        <v>Tier 1 – Flagship launch</v>
      </c>
      <c r="AB112" s="18" t="s">
        <v>863</v>
      </c>
      <c r="AC112" s="27" t="s">
        <v>864</v>
      </c>
      <c r="AD112" s="18" t="s">
        <v>129</v>
      </c>
      <c r="AE112" s="15" t="s">
        <v>130</v>
      </c>
      <c r="AF112" s="23" t="s">
        <v>126</v>
      </c>
      <c r="AG112" s="29" t="n">
        <f aca="false">IF(OR(Z112&lt;=Weights!$C$19,AF112="Yes"),Y112,Y112-5000)</f>
        <v>75.29888</v>
      </c>
      <c r="AH112" s="15" t="n">
        <f aca="false">IF(OR(Z112&lt;=Weights!$C$19,AF112="Yes"),RANK(AG112,$AG$5:$AG$172,0),"")</f>
        <v>4</v>
      </c>
    </row>
    <row r="113" customFormat="false" ht="35.05" hidden="false" customHeight="false" outlineLevel="0" collapsed="false">
      <c r="A113" s="18" t="s">
        <v>865</v>
      </c>
      <c r="B113" s="27" t="s">
        <v>866</v>
      </c>
      <c r="C113" s="18" t="s">
        <v>867</v>
      </c>
      <c r="D113" s="18" t="s">
        <v>868</v>
      </c>
      <c r="E113" s="18" t="s">
        <v>803</v>
      </c>
      <c r="F113" s="18" t="s">
        <v>153</v>
      </c>
      <c r="G113" s="15" t="n">
        <v>2023</v>
      </c>
      <c r="H113" s="15" t="n">
        <v>2</v>
      </c>
      <c r="I113" s="23" t="n">
        <v>4</v>
      </c>
      <c r="J113" s="23" t="n">
        <v>2</v>
      </c>
      <c r="K113" s="23" t="n">
        <v>5</v>
      </c>
      <c r="L113" s="23" t="n">
        <v>5</v>
      </c>
      <c r="M113" s="23" t="n">
        <v>0</v>
      </c>
      <c r="N113" s="23" t="n">
        <v>0</v>
      </c>
      <c r="O113" s="23" t="n">
        <v>2</v>
      </c>
      <c r="P113" s="23" t="n">
        <v>2.2</v>
      </c>
      <c r="Q113" s="23" t="n">
        <v>4.3</v>
      </c>
      <c r="R113" s="23" t="n">
        <v>3.5</v>
      </c>
      <c r="S113" s="23" t="n">
        <v>3</v>
      </c>
      <c r="T113" s="23" t="n">
        <v>0</v>
      </c>
      <c r="U113" s="18" t="s">
        <v>126</v>
      </c>
      <c r="V113" s="18"/>
      <c r="W113" s="28" t="n">
        <f aca="false">MIN(100,MAX(0,ROUND(SUMPRODUCT(I113:S113,$I$3:$S$3)/SUM($I$3:$S$3)/5*100+T113,1)))</f>
        <v>58.9</v>
      </c>
      <c r="X113" s="15" t="str">
        <f aca="false">IF(U113="Yes","No","Yes")</f>
        <v>Yes</v>
      </c>
      <c r="Y113" s="29" t="n">
        <f aca="false">IF(X113="Yes",W113,W113-1000)-ROW()/100000</f>
        <v>58.89887</v>
      </c>
      <c r="Z113" s="15" t="n">
        <f aca="false">RANK(Y113,$Y$5:$Y$172,0)</f>
        <v>92</v>
      </c>
      <c r="AA113" s="15" t="str">
        <f aca="false">IF(X113="No","Hold – resolve flag",IF(Z113&lt;=Weights!$C$18,"Tier 1 – Flagship launch",IF(OR(Z113&lt;=Weights!$C$19,AF113="Yes"),"Tier 2 – Priority",IF(Z113&lt;=Weights!$C$20,"Tier 3 – Standard rotation","Tier 4 – Reserve"))))</f>
        <v>Tier 4 – Reserve</v>
      </c>
      <c r="AB113" s="18" t="s">
        <v>869</v>
      </c>
      <c r="AC113" s="27" t="s">
        <v>870</v>
      </c>
      <c r="AD113" s="18" t="s">
        <v>129</v>
      </c>
      <c r="AE113" s="15" t="s">
        <v>130</v>
      </c>
      <c r="AF113" s="23" t="s">
        <v>126</v>
      </c>
      <c r="AG113" s="29" t="n">
        <f aca="false">IF(OR(Z113&lt;=Weights!$C$19,AF113="Yes"),Y113,Y113-5000)</f>
        <v>-4941.10113</v>
      </c>
      <c r="AH113" s="15" t="str">
        <f aca="false">IF(OR(Z113&lt;=Weights!$C$19,AF113="Yes"),RANK(AG113,$AG$5:$AG$172,0),"")</f>
        <v/>
      </c>
    </row>
    <row r="114" customFormat="false" ht="35.05" hidden="false" customHeight="false" outlineLevel="0" collapsed="false">
      <c r="A114" s="18" t="s">
        <v>871</v>
      </c>
      <c r="B114" s="27" t="s">
        <v>872</v>
      </c>
      <c r="C114" s="18" t="s">
        <v>873</v>
      </c>
      <c r="D114" s="18" t="s">
        <v>874</v>
      </c>
      <c r="E114" s="18" t="s">
        <v>875</v>
      </c>
      <c r="F114" s="18" t="s">
        <v>153</v>
      </c>
      <c r="G114" s="15" t="n">
        <v>2024</v>
      </c>
      <c r="H114" s="15" t="n">
        <v>8</v>
      </c>
      <c r="I114" s="23" t="n">
        <v>4</v>
      </c>
      <c r="J114" s="23" t="n">
        <v>4</v>
      </c>
      <c r="K114" s="23" t="n">
        <v>2</v>
      </c>
      <c r="L114" s="23" t="n">
        <v>5</v>
      </c>
      <c r="M114" s="23" t="n">
        <v>0</v>
      </c>
      <c r="N114" s="23" t="n">
        <v>0</v>
      </c>
      <c r="O114" s="23" t="n">
        <v>2</v>
      </c>
      <c r="P114" s="23" t="n">
        <v>2.2</v>
      </c>
      <c r="Q114" s="23" t="n">
        <v>4</v>
      </c>
      <c r="R114" s="23" t="n">
        <v>3.8</v>
      </c>
      <c r="S114" s="23" t="n">
        <v>3</v>
      </c>
      <c r="T114" s="23" t="n">
        <v>0</v>
      </c>
      <c r="U114" s="18" t="s">
        <v>126</v>
      </c>
      <c r="V114" s="18"/>
      <c r="W114" s="28" t="n">
        <f aca="false">MIN(100,MAX(0,ROUND(SUMPRODUCT(I114:S114,$I$3:$S$3)/SUM($I$3:$S$3)/5*100+T114,1)))</f>
        <v>59.3</v>
      </c>
      <c r="X114" s="15" t="str">
        <f aca="false">IF(U114="Yes","No","Yes")</f>
        <v>Yes</v>
      </c>
      <c r="Y114" s="29" t="n">
        <f aca="false">IF(X114="Yes",W114,W114-1000)-ROW()/100000</f>
        <v>59.29886</v>
      </c>
      <c r="Z114" s="15" t="n">
        <f aca="false">RANK(Y114,$Y$5:$Y$172,0)</f>
        <v>89</v>
      </c>
      <c r="AA114" s="15" t="str">
        <f aca="false">IF(X114="No","Hold – resolve flag",IF(Z114&lt;=Weights!$C$18,"Tier 1 – Flagship launch",IF(OR(Z114&lt;=Weights!$C$19,AF114="Yes"),"Tier 2 – Priority",IF(Z114&lt;=Weights!$C$20,"Tier 3 – Standard rotation","Tier 4 – Reserve"))))</f>
        <v>Tier 2 – Priority</v>
      </c>
      <c r="AB114" s="18" t="s">
        <v>876</v>
      </c>
      <c r="AC114" s="27" t="s">
        <v>877</v>
      </c>
      <c r="AD114" s="18" t="s">
        <v>349</v>
      </c>
      <c r="AE114" s="15" t="s">
        <v>130</v>
      </c>
      <c r="AF114" s="23" t="s">
        <v>131</v>
      </c>
      <c r="AG114" s="29" t="n">
        <f aca="false">IF(OR(Z114&lt;=Weights!$C$19,AF114="Yes"),Y114,Y114-5000)</f>
        <v>59.29886</v>
      </c>
      <c r="AH114" s="15" t="n">
        <f aca="false">IF(OR(Z114&lt;=Weights!$C$19,AF114="Yes"),RANK(AG114,$AG$5:$AG$172,0),"")</f>
        <v>51</v>
      </c>
    </row>
    <row r="115" customFormat="false" ht="35.05" hidden="false" customHeight="false" outlineLevel="0" collapsed="false">
      <c r="A115" s="18" t="s">
        <v>878</v>
      </c>
      <c r="B115" s="27" t="s">
        <v>879</v>
      </c>
      <c r="C115" s="18" t="s">
        <v>880</v>
      </c>
      <c r="D115" s="18" t="s">
        <v>881</v>
      </c>
      <c r="E115" s="18" t="s">
        <v>204</v>
      </c>
      <c r="F115" s="18" t="s">
        <v>137</v>
      </c>
      <c r="G115" s="15" t="n">
        <v>2024</v>
      </c>
      <c r="H115" s="15" t="n">
        <v>6</v>
      </c>
      <c r="I115" s="23" t="n">
        <v>5</v>
      </c>
      <c r="J115" s="23" t="n">
        <v>2</v>
      </c>
      <c r="K115" s="23" t="n">
        <v>3</v>
      </c>
      <c r="L115" s="23" t="n">
        <v>5</v>
      </c>
      <c r="M115" s="23" t="n">
        <v>0</v>
      </c>
      <c r="N115" s="23" t="n">
        <v>0</v>
      </c>
      <c r="O115" s="23" t="n">
        <v>2</v>
      </c>
      <c r="P115" s="23" t="n">
        <v>2.2</v>
      </c>
      <c r="Q115" s="23" t="n">
        <v>3.6</v>
      </c>
      <c r="R115" s="23" t="n">
        <v>3.5</v>
      </c>
      <c r="S115" s="23" t="n">
        <v>4</v>
      </c>
      <c r="T115" s="23" t="n">
        <v>0</v>
      </c>
      <c r="U115" s="18" t="s">
        <v>126</v>
      </c>
      <c r="V115" s="18"/>
      <c r="W115" s="28" t="n">
        <f aca="false">MIN(100,MAX(0,ROUND(SUMPRODUCT(I115:S115,$I$3:$S$3)/SUM($I$3:$S$3)/5*100+T115,1)))</f>
        <v>57.8</v>
      </c>
      <c r="X115" s="15" t="str">
        <f aca="false">IF(U115="Yes","No","Yes")</f>
        <v>Yes</v>
      </c>
      <c r="Y115" s="29" t="n">
        <f aca="false">IF(X115="Yes",W115,W115-1000)-ROW()/100000</f>
        <v>57.79885</v>
      </c>
      <c r="Z115" s="15" t="n">
        <f aca="false">RANK(Y115,$Y$5:$Y$172,0)</f>
        <v>102</v>
      </c>
      <c r="AA115" s="15" t="str">
        <f aca="false">IF(X115="No","Hold – resolve flag",IF(Z115&lt;=Weights!$C$18,"Tier 1 – Flagship launch",IF(OR(Z115&lt;=Weights!$C$19,AF115="Yes"),"Tier 2 – Priority",IF(Z115&lt;=Weights!$C$20,"Tier 3 – Standard rotation","Tier 4 – Reserve"))))</f>
        <v>Tier 4 – Reserve</v>
      </c>
      <c r="AB115" s="18" t="s">
        <v>882</v>
      </c>
      <c r="AC115" s="27" t="s">
        <v>883</v>
      </c>
      <c r="AD115" s="18" t="s">
        <v>349</v>
      </c>
      <c r="AE115" s="15" t="s">
        <v>130</v>
      </c>
      <c r="AF115" s="23" t="s">
        <v>126</v>
      </c>
      <c r="AG115" s="29" t="n">
        <f aca="false">IF(OR(Z115&lt;=Weights!$C$19,AF115="Yes"),Y115,Y115-5000)</f>
        <v>-4942.20115</v>
      </c>
      <c r="AH115" s="15" t="str">
        <f aca="false">IF(OR(Z115&lt;=Weights!$C$19,AF115="Yes"),RANK(AG115,$AG$5:$AG$172,0),"")</f>
        <v/>
      </c>
    </row>
    <row r="116" customFormat="false" ht="35.05" hidden="false" customHeight="false" outlineLevel="0" collapsed="false">
      <c r="A116" s="18" t="s">
        <v>884</v>
      </c>
      <c r="B116" s="27" t="s">
        <v>885</v>
      </c>
      <c r="C116" s="18" t="s">
        <v>886</v>
      </c>
      <c r="D116" s="18" t="s">
        <v>887</v>
      </c>
      <c r="E116" s="18" t="s">
        <v>803</v>
      </c>
      <c r="F116" s="18" t="s">
        <v>153</v>
      </c>
      <c r="G116" s="15" t="n">
        <v>2021</v>
      </c>
      <c r="H116" s="15" t="n">
        <v>14</v>
      </c>
      <c r="I116" s="23" t="n">
        <v>4</v>
      </c>
      <c r="J116" s="23" t="n">
        <v>2</v>
      </c>
      <c r="K116" s="23" t="n">
        <v>1</v>
      </c>
      <c r="L116" s="23" t="n">
        <v>5</v>
      </c>
      <c r="M116" s="23" t="n">
        <v>0</v>
      </c>
      <c r="N116" s="23" t="n">
        <v>0</v>
      </c>
      <c r="O116" s="23" t="n">
        <v>2</v>
      </c>
      <c r="P116" s="23" t="n">
        <v>2.8</v>
      </c>
      <c r="Q116" s="23" t="n">
        <v>4</v>
      </c>
      <c r="R116" s="23" t="n">
        <v>3.8</v>
      </c>
      <c r="S116" s="23" t="n">
        <v>2</v>
      </c>
      <c r="T116" s="23" t="n">
        <v>0</v>
      </c>
      <c r="U116" s="18" t="s">
        <v>126</v>
      </c>
      <c r="V116" s="18"/>
      <c r="W116" s="28" t="n">
        <f aca="false">MIN(100,MAX(0,ROUND(SUMPRODUCT(I116:S116,$I$3:$S$3)/SUM($I$3:$S$3)/5*100+T116,1)))</f>
        <v>52.3</v>
      </c>
      <c r="X116" s="15" t="str">
        <f aca="false">IF(U116="Yes","No","Yes")</f>
        <v>Yes</v>
      </c>
      <c r="Y116" s="29" t="n">
        <f aca="false">IF(X116="Yes",W116,W116-1000)-ROW()/100000</f>
        <v>52.29884</v>
      </c>
      <c r="Z116" s="15" t="n">
        <f aca="false">RANK(Y116,$Y$5:$Y$172,0)</f>
        <v>134</v>
      </c>
      <c r="AA116" s="15" t="str">
        <f aca="false">IF(X116="No","Hold – resolve flag",IF(Z116&lt;=Weights!$C$18,"Tier 1 – Flagship launch",IF(OR(Z116&lt;=Weights!$C$19,AF116="Yes"),"Tier 2 – Priority",IF(Z116&lt;=Weights!$C$20,"Tier 3 – Standard rotation","Tier 4 – Reserve"))))</f>
        <v>Tier 4 – Reserve</v>
      </c>
      <c r="AB116" s="18" t="s">
        <v>888</v>
      </c>
      <c r="AC116" s="27" t="s">
        <v>889</v>
      </c>
      <c r="AD116" s="18" t="s">
        <v>349</v>
      </c>
      <c r="AE116" s="15" t="s">
        <v>130</v>
      </c>
      <c r="AF116" s="23" t="s">
        <v>126</v>
      </c>
      <c r="AG116" s="29" t="n">
        <f aca="false">IF(OR(Z116&lt;=Weights!$C$19,AF116="Yes"),Y116,Y116-5000)</f>
        <v>-4947.70116</v>
      </c>
      <c r="AH116" s="15" t="str">
        <f aca="false">IF(OR(Z116&lt;=Weights!$C$19,AF116="Yes"),RANK(AG116,$AG$5:$AG$172,0),"")</f>
        <v/>
      </c>
    </row>
    <row r="117" customFormat="false" ht="35.05" hidden="false" customHeight="false" outlineLevel="0" collapsed="false">
      <c r="A117" s="18" t="s">
        <v>890</v>
      </c>
      <c r="B117" s="27" t="s">
        <v>891</v>
      </c>
      <c r="C117" s="18" t="s">
        <v>892</v>
      </c>
      <c r="D117" s="18" t="s">
        <v>769</v>
      </c>
      <c r="E117" s="18" t="s">
        <v>893</v>
      </c>
      <c r="F117" s="18" t="s">
        <v>153</v>
      </c>
      <c r="G117" s="15" t="n">
        <v>2024</v>
      </c>
      <c r="H117" s="15" t="n">
        <v>10</v>
      </c>
      <c r="I117" s="23" t="n">
        <v>5</v>
      </c>
      <c r="J117" s="23" t="n">
        <v>4</v>
      </c>
      <c r="K117" s="23" t="n">
        <v>2</v>
      </c>
      <c r="L117" s="23" t="n">
        <v>5</v>
      </c>
      <c r="M117" s="23" t="n">
        <v>0</v>
      </c>
      <c r="N117" s="23" t="n">
        <v>3</v>
      </c>
      <c r="O117" s="23" t="n">
        <v>2</v>
      </c>
      <c r="P117" s="23" t="n">
        <v>2.2</v>
      </c>
      <c r="Q117" s="23" t="n">
        <v>4.8</v>
      </c>
      <c r="R117" s="23" t="n">
        <v>3.5</v>
      </c>
      <c r="S117" s="23" t="n">
        <v>3</v>
      </c>
      <c r="T117" s="23" t="n">
        <v>0</v>
      </c>
      <c r="U117" s="18" t="s">
        <v>126</v>
      </c>
      <c r="V117" s="18"/>
      <c r="W117" s="28" t="n">
        <f aca="false">MIN(100,MAX(0,ROUND(SUMPRODUCT(I117:S117,$I$3:$S$3)/SUM($I$3:$S$3)/5*100+T117,1)))</f>
        <v>64.9</v>
      </c>
      <c r="X117" s="15" t="str">
        <f aca="false">IF(U117="Yes","No","Yes")</f>
        <v>Yes</v>
      </c>
      <c r="Y117" s="29" t="n">
        <f aca="false">IF(X117="Yes",W117,W117-1000)-ROW()/100000</f>
        <v>64.89883</v>
      </c>
      <c r="Z117" s="15" t="n">
        <f aca="false">RANK(Y117,$Y$5:$Y$172,0)</f>
        <v>45</v>
      </c>
      <c r="AA117" s="15" t="str">
        <f aca="false">IF(X117="No","Hold – resolve flag",IF(Z117&lt;=Weights!$C$18,"Tier 1 – Flagship launch",IF(OR(Z117&lt;=Weights!$C$19,AF117="Yes"),"Tier 2 – Priority",IF(Z117&lt;=Weights!$C$20,"Tier 3 – Standard rotation","Tier 4 – Reserve"))))</f>
        <v>Tier 2 – Priority</v>
      </c>
      <c r="AB117" s="18" t="s">
        <v>894</v>
      </c>
      <c r="AC117" s="27" t="s">
        <v>895</v>
      </c>
      <c r="AD117" s="18" t="s">
        <v>129</v>
      </c>
      <c r="AE117" s="15" t="s">
        <v>130</v>
      </c>
      <c r="AF117" s="23" t="s">
        <v>131</v>
      </c>
      <c r="AG117" s="29" t="n">
        <f aca="false">IF(OR(Z117&lt;=Weights!$C$19,AF117="Yes"),Y117,Y117-5000)</f>
        <v>64.89883</v>
      </c>
      <c r="AH117" s="15" t="n">
        <f aca="false">IF(OR(Z117&lt;=Weights!$C$19,AF117="Yes"),RANK(AG117,$AG$5:$AG$172,0),"")</f>
        <v>36</v>
      </c>
    </row>
    <row r="118" customFormat="false" ht="35.05" hidden="false" customHeight="false" outlineLevel="0" collapsed="false">
      <c r="A118" s="18" t="s">
        <v>896</v>
      </c>
      <c r="B118" s="27" t="s">
        <v>897</v>
      </c>
      <c r="C118" s="18" t="s">
        <v>898</v>
      </c>
      <c r="D118" s="18" t="s">
        <v>899</v>
      </c>
      <c r="E118" s="18" t="s">
        <v>900</v>
      </c>
      <c r="F118" s="18" t="s">
        <v>153</v>
      </c>
      <c r="G118" s="15" t="n">
        <v>2024</v>
      </c>
      <c r="H118" s="15" t="n">
        <v>12</v>
      </c>
      <c r="I118" s="23" t="n">
        <v>5</v>
      </c>
      <c r="J118" s="23" t="n">
        <v>4</v>
      </c>
      <c r="K118" s="23" t="n">
        <v>1</v>
      </c>
      <c r="L118" s="23" t="n">
        <v>5</v>
      </c>
      <c r="M118" s="23" t="n">
        <v>5</v>
      </c>
      <c r="N118" s="23" t="n">
        <v>0</v>
      </c>
      <c r="O118" s="23" t="n">
        <v>3</v>
      </c>
      <c r="P118" s="23" t="n">
        <v>2.2</v>
      </c>
      <c r="Q118" s="23" t="n">
        <v>4</v>
      </c>
      <c r="R118" s="23" t="n">
        <v>3.5</v>
      </c>
      <c r="S118" s="23" t="n">
        <v>3</v>
      </c>
      <c r="T118" s="23" t="n">
        <v>0</v>
      </c>
      <c r="U118" s="18" t="s">
        <v>126</v>
      </c>
      <c r="V118" s="18"/>
      <c r="W118" s="28" t="n">
        <f aca="false">MIN(100,MAX(0,ROUND(SUMPRODUCT(I118:S118,$I$3:$S$3)/SUM($I$3:$S$3)/5*100+T118,1)))</f>
        <v>67.4</v>
      </c>
      <c r="X118" s="15" t="str">
        <f aca="false">IF(U118="Yes","No","Yes")</f>
        <v>Yes</v>
      </c>
      <c r="Y118" s="29" t="n">
        <f aca="false">IF(X118="Yes",W118,W118-1000)-ROW()/100000</f>
        <v>67.39882</v>
      </c>
      <c r="Z118" s="15" t="n">
        <f aca="false">RANK(Y118,$Y$5:$Y$172,0)</f>
        <v>31</v>
      </c>
      <c r="AA118" s="15" t="str">
        <f aca="false">IF(X118="No","Hold – resolve flag",IF(Z118&lt;=Weights!$C$18,"Tier 1 – Flagship launch",IF(OR(Z118&lt;=Weights!$C$19,AF118="Yes"),"Tier 2 – Priority",IF(Z118&lt;=Weights!$C$20,"Tier 3 – Standard rotation","Tier 4 – Reserve"))))</f>
        <v>Tier 2 – Priority</v>
      </c>
      <c r="AB118" s="18" t="s">
        <v>901</v>
      </c>
      <c r="AC118" s="27" t="s">
        <v>902</v>
      </c>
      <c r="AD118" s="18" t="s">
        <v>349</v>
      </c>
      <c r="AE118" s="15" t="s">
        <v>130</v>
      </c>
      <c r="AF118" s="23" t="s">
        <v>131</v>
      </c>
      <c r="AG118" s="29" t="n">
        <f aca="false">IF(OR(Z118&lt;=Weights!$C$19,AF118="Yes"),Y118,Y118-5000)</f>
        <v>67.39882</v>
      </c>
      <c r="AH118" s="15" t="n">
        <f aca="false">IF(OR(Z118&lt;=Weights!$C$19,AF118="Yes"),RANK(AG118,$AG$5:$AG$172,0),"")</f>
        <v>31</v>
      </c>
    </row>
    <row r="119" customFormat="false" ht="35.05" hidden="false" customHeight="false" outlineLevel="0" collapsed="false">
      <c r="A119" s="18" t="s">
        <v>903</v>
      </c>
      <c r="B119" s="27" t="s">
        <v>904</v>
      </c>
      <c r="C119" s="18" t="s">
        <v>905</v>
      </c>
      <c r="D119" s="18" t="s">
        <v>906</v>
      </c>
      <c r="E119" s="18" t="s">
        <v>204</v>
      </c>
      <c r="F119" s="18" t="s">
        <v>125</v>
      </c>
      <c r="G119" s="15" t="n">
        <v>2026</v>
      </c>
      <c r="H119" s="15" t="n">
        <v>4</v>
      </c>
      <c r="I119" s="23" t="n">
        <v>5</v>
      </c>
      <c r="J119" s="23" t="n">
        <v>4</v>
      </c>
      <c r="K119" s="23" t="n">
        <v>4</v>
      </c>
      <c r="L119" s="23" t="n">
        <v>5</v>
      </c>
      <c r="M119" s="23" t="n">
        <v>0</v>
      </c>
      <c r="N119" s="23" t="n">
        <v>0</v>
      </c>
      <c r="O119" s="23" t="n">
        <v>2</v>
      </c>
      <c r="P119" s="23" t="n">
        <v>2.8</v>
      </c>
      <c r="Q119" s="23" t="n">
        <v>4.8</v>
      </c>
      <c r="R119" s="23" t="n">
        <v>3.5</v>
      </c>
      <c r="S119" s="23" t="n">
        <v>5</v>
      </c>
      <c r="T119" s="23" t="n">
        <v>0</v>
      </c>
      <c r="U119" s="18" t="s">
        <v>126</v>
      </c>
      <c r="V119" s="18"/>
      <c r="W119" s="28" t="n">
        <f aca="false">MIN(100,MAX(0,ROUND(SUMPRODUCT(I119:S119,$I$3:$S$3)/SUM($I$3:$S$3)/5*100+T119,1)))</f>
        <v>68.7</v>
      </c>
      <c r="X119" s="15" t="str">
        <f aca="false">IF(U119="Yes","No","Yes")</f>
        <v>Yes</v>
      </c>
      <c r="Y119" s="29" t="n">
        <f aca="false">IF(X119="Yes",W119,W119-1000)-ROW()/100000</f>
        <v>68.69881</v>
      </c>
      <c r="Z119" s="15" t="n">
        <f aca="false">RANK(Y119,$Y$5:$Y$172,0)</f>
        <v>23</v>
      </c>
      <c r="AA119" s="15" t="str">
        <f aca="false">IF(X119="No","Hold – resolve flag",IF(Z119&lt;=Weights!$C$18,"Tier 1 – Flagship launch",IF(OR(Z119&lt;=Weights!$C$19,AF119="Yes"),"Tier 2 – Priority",IF(Z119&lt;=Weights!$C$20,"Tier 3 – Standard rotation","Tier 4 – Reserve"))))</f>
        <v>Tier 2 – Priority</v>
      </c>
      <c r="AB119" s="18" t="s">
        <v>907</v>
      </c>
      <c r="AC119" s="27" t="s">
        <v>908</v>
      </c>
      <c r="AD119" s="18" t="s">
        <v>129</v>
      </c>
      <c r="AE119" s="15" t="s">
        <v>130</v>
      </c>
      <c r="AF119" s="23" t="s">
        <v>126</v>
      </c>
      <c r="AG119" s="29" t="n">
        <f aca="false">IF(OR(Z119&lt;=Weights!$C$19,AF119="Yes"),Y119,Y119-5000)</f>
        <v>68.69881</v>
      </c>
      <c r="AH119" s="15" t="n">
        <f aca="false">IF(OR(Z119&lt;=Weights!$C$19,AF119="Yes"),RANK(AG119,$AG$5:$AG$172,0),"")</f>
        <v>23</v>
      </c>
    </row>
    <row r="120" customFormat="false" ht="35.05" hidden="false" customHeight="false" outlineLevel="0" collapsed="false">
      <c r="A120" s="18" t="s">
        <v>909</v>
      </c>
      <c r="B120" s="27" t="s">
        <v>910</v>
      </c>
      <c r="C120" s="18" t="s">
        <v>911</v>
      </c>
      <c r="D120" s="18" t="s">
        <v>289</v>
      </c>
      <c r="E120" s="18" t="s">
        <v>912</v>
      </c>
      <c r="F120" s="18" t="s">
        <v>913</v>
      </c>
      <c r="G120" s="15" t="n">
        <v>2025</v>
      </c>
      <c r="H120" s="15" t="s">
        <v>138</v>
      </c>
      <c r="I120" s="23" t="n">
        <v>5</v>
      </c>
      <c r="J120" s="23" t="n">
        <v>4</v>
      </c>
      <c r="K120" s="23" t="n">
        <v>2</v>
      </c>
      <c r="L120" s="23" t="n">
        <v>5</v>
      </c>
      <c r="M120" s="23" t="n">
        <v>0</v>
      </c>
      <c r="N120" s="23" t="n">
        <v>0</v>
      </c>
      <c r="O120" s="23" t="n">
        <v>2</v>
      </c>
      <c r="P120" s="23" t="n">
        <v>2.2</v>
      </c>
      <c r="Q120" s="23" t="n">
        <v>4.8</v>
      </c>
      <c r="R120" s="23" t="n">
        <v>3.8</v>
      </c>
      <c r="S120" s="23" t="n">
        <v>5</v>
      </c>
      <c r="T120" s="23" t="n">
        <v>0</v>
      </c>
      <c r="U120" s="18" t="s">
        <v>126</v>
      </c>
      <c r="V120" s="18"/>
      <c r="W120" s="28" t="n">
        <f aca="false">MIN(100,MAX(0,ROUND(SUMPRODUCT(I120:S120,$I$3:$S$3)/SUM($I$3:$S$3)/5*100+T120,1)))</f>
        <v>65.4</v>
      </c>
      <c r="X120" s="15" t="str">
        <f aca="false">IF(U120="Yes","No","Yes")</f>
        <v>Yes</v>
      </c>
      <c r="Y120" s="29" t="n">
        <f aca="false">IF(X120="Yes",W120,W120-1000)-ROW()/100000</f>
        <v>65.3988</v>
      </c>
      <c r="Z120" s="15" t="n">
        <f aca="false">RANK(Y120,$Y$5:$Y$172,0)</f>
        <v>42</v>
      </c>
      <c r="AA120" s="15" t="str">
        <f aca="false">IF(X120="No","Hold – resolve flag",IF(Z120&lt;=Weights!$C$18,"Tier 1 – Flagship launch",IF(OR(Z120&lt;=Weights!$C$19,AF120="Yes"),"Tier 2 – Priority",IF(Z120&lt;=Weights!$C$20,"Tier 3 – Standard rotation","Tier 4 – Reserve"))))</f>
        <v>Tier 3 – Standard rotation</v>
      </c>
      <c r="AB120" s="18" t="s">
        <v>914</v>
      </c>
      <c r="AC120" s="27" t="s">
        <v>915</v>
      </c>
      <c r="AD120" s="18" t="s">
        <v>129</v>
      </c>
      <c r="AE120" s="15" t="s">
        <v>130</v>
      </c>
      <c r="AF120" s="23" t="s">
        <v>126</v>
      </c>
      <c r="AG120" s="29" t="n">
        <f aca="false">IF(OR(Z120&lt;=Weights!$C$19,AF120="Yes"),Y120,Y120-5000)</f>
        <v>-4934.6012</v>
      </c>
      <c r="AH120" s="15" t="str">
        <f aca="false">IF(OR(Z120&lt;=Weights!$C$19,AF120="Yes"),RANK(AG120,$AG$5:$AG$172,0),"")</f>
        <v/>
      </c>
    </row>
    <row r="121" customFormat="false" ht="35.05" hidden="false" customHeight="false" outlineLevel="0" collapsed="false">
      <c r="A121" s="18" t="s">
        <v>916</v>
      </c>
      <c r="B121" s="27" t="s">
        <v>917</v>
      </c>
      <c r="C121" s="18" t="s">
        <v>918</v>
      </c>
      <c r="D121" s="18" t="s">
        <v>919</v>
      </c>
      <c r="E121" s="18" t="s">
        <v>920</v>
      </c>
      <c r="F121" s="18" t="s">
        <v>153</v>
      </c>
      <c r="G121" s="15" t="n">
        <v>2024</v>
      </c>
      <c r="H121" s="15" t="n">
        <v>5</v>
      </c>
      <c r="I121" s="23" t="n">
        <v>5</v>
      </c>
      <c r="J121" s="23" t="n">
        <v>5</v>
      </c>
      <c r="K121" s="23" t="n">
        <v>3</v>
      </c>
      <c r="L121" s="23" t="n">
        <v>2</v>
      </c>
      <c r="M121" s="23" t="n">
        <v>3</v>
      </c>
      <c r="N121" s="23" t="n">
        <v>0</v>
      </c>
      <c r="O121" s="23" t="n">
        <v>4</v>
      </c>
      <c r="P121" s="23" t="n">
        <v>4.2</v>
      </c>
      <c r="Q121" s="23" t="n">
        <v>4</v>
      </c>
      <c r="R121" s="23" t="n">
        <v>3.5</v>
      </c>
      <c r="S121" s="23" t="n">
        <v>4</v>
      </c>
      <c r="T121" s="23" t="n">
        <v>0</v>
      </c>
      <c r="U121" s="18" t="s">
        <v>126</v>
      </c>
      <c r="V121" s="18"/>
      <c r="W121" s="28" t="n">
        <f aca="false">MIN(100,MAX(0,ROUND(SUMPRODUCT(I121:S121,$I$3:$S$3)/SUM($I$3:$S$3)/5*100+T121,1)))</f>
        <v>71</v>
      </c>
      <c r="X121" s="15" t="str">
        <f aca="false">IF(U121="Yes","No","Yes")</f>
        <v>Yes</v>
      </c>
      <c r="Y121" s="29" t="n">
        <f aca="false">IF(X121="Yes",W121,W121-1000)-ROW()/100000</f>
        <v>70.99879</v>
      </c>
      <c r="Z121" s="15" t="n">
        <f aca="false">RANK(Y121,$Y$5:$Y$172,0)</f>
        <v>16</v>
      </c>
      <c r="AA121" s="15" t="str">
        <f aca="false">IF(X121="No","Hold – resolve flag",IF(Z121&lt;=Weights!$C$18,"Tier 1 – Flagship launch",IF(OR(Z121&lt;=Weights!$C$19,AF121="Yes"),"Tier 2 – Priority",IF(Z121&lt;=Weights!$C$20,"Tier 3 – Standard rotation","Tier 4 – Reserve"))))</f>
        <v>Tier 2 – Priority</v>
      </c>
      <c r="AB121" s="18" t="s">
        <v>921</v>
      </c>
      <c r="AC121" s="27" t="s">
        <v>922</v>
      </c>
      <c r="AD121" s="18" t="s">
        <v>349</v>
      </c>
      <c r="AE121" s="15" t="s">
        <v>130</v>
      </c>
      <c r="AF121" s="23" t="s">
        <v>126</v>
      </c>
      <c r="AG121" s="29" t="n">
        <f aca="false">IF(OR(Z121&lt;=Weights!$C$19,AF121="Yes"),Y121,Y121-5000)</f>
        <v>70.99879</v>
      </c>
      <c r="AH121" s="15" t="n">
        <f aca="false">IF(OR(Z121&lt;=Weights!$C$19,AF121="Yes"),RANK(AG121,$AG$5:$AG$172,0),"")</f>
        <v>16</v>
      </c>
    </row>
    <row r="122" customFormat="false" ht="35.05" hidden="false" customHeight="false" outlineLevel="0" collapsed="false">
      <c r="A122" s="18" t="s">
        <v>923</v>
      </c>
      <c r="B122" s="27" t="s">
        <v>924</v>
      </c>
      <c r="C122" s="18" t="s">
        <v>925</v>
      </c>
      <c r="D122" s="18" t="s">
        <v>926</v>
      </c>
      <c r="E122" s="18" t="s">
        <v>927</v>
      </c>
      <c r="F122" s="18" t="s">
        <v>263</v>
      </c>
      <c r="G122" s="15" t="n">
        <v>2023</v>
      </c>
      <c r="H122" s="15" t="n">
        <v>8</v>
      </c>
      <c r="I122" s="23" t="n">
        <v>4</v>
      </c>
      <c r="J122" s="23" t="n">
        <v>4</v>
      </c>
      <c r="K122" s="23" t="n">
        <v>2</v>
      </c>
      <c r="L122" s="23" t="n">
        <v>5</v>
      </c>
      <c r="M122" s="23" t="n">
        <v>0</v>
      </c>
      <c r="N122" s="23" t="n">
        <v>0</v>
      </c>
      <c r="O122" s="23" t="n">
        <v>2</v>
      </c>
      <c r="P122" s="23" t="n">
        <v>3.5</v>
      </c>
      <c r="Q122" s="23" t="n">
        <v>5</v>
      </c>
      <c r="R122" s="23" t="n">
        <v>3.5</v>
      </c>
      <c r="S122" s="23" t="n">
        <v>3</v>
      </c>
      <c r="T122" s="23" t="n">
        <v>0</v>
      </c>
      <c r="U122" s="18" t="s">
        <v>126</v>
      </c>
      <c r="V122" s="18"/>
      <c r="W122" s="28" t="n">
        <f aca="false">MIN(100,MAX(0,ROUND(SUMPRODUCT(I122:S122,$I$3:$S$3)/SUM($I$3:$S$3)/5*100+T122,1)))</f>
        <v>62.1</v>
      </c>
      <c r="X122" s="15" t="str">
        <f aca="false">IF(U122="Yes","No","Yes")</f>
        <v>Yes</v>
      </c>
      <c r="Y122" s="29" t="n">
        <f aca="false">IF(X122="Yes",W122,W122-1000)-ROW()/100000</f>
        <v>62.09878</v>
      </c>
      <c r="Z122" s="15" t="n">
        <f aca="false">RANK(Y122,$Y$5:$Y$172,0)</f>
        <v>64</v>
      </c>
      <c r="AA122" s="15" t="str">
        <f aca="false">IF(X122="No","Hold – resolve flag",IF(Z122&lt;=Weights!$C$18,"Tier 1 – Flagship launch",IF(OR(Z122&lt;=Weights!$C$19,AF122="Yes"),"Tier 2 – Priority",IF(Z122&lt;=Weights!$C$20,"Tier 3 – Standard rotation","Tier 4 – Reserve"))))</f>
        <v>Tier 2 – Priority</v>
      </c>
      <c r="AB122" s="18" t="s">
        <v>928</v>
      </c>
      <c r="AC122" s="27" t="s">
        <v>929</v>
      </c>
      <c r="AD122" s="18" t="s">
        <v>129</v>
      </c>
      <c r="AE122" s="15" t="s">
        <v>130</v>
      </c>
      <c r="AF122" s="23" t="s">
        <v>131</v>
      </c>
      <c r="AG122" s="29" t="n">
        <f aca="false">IF(OR(Z122&lt;=Weights!$C$19,AF122="Yes"),Y122,Y122-5000)</f>
        <v>62.09878</v>
      </c>
      <c r="AH122" s="15" t="n">
        <f aca="false">IF(OR(Z122&lt;=Weights!$C$19,AF122="Yes"),RANK(AG122,$AG$5:$AG$172,0),"")</f>
        <v>42</v>
      </c>
    </row>
    <row r="123" customFormat="false" ht="35.05" hidden="false" customHeight="false" outlineLevel="0" collapsed="false">
      <c r="A123" s="18" t="s">
        <v>930</v>
      </c>
      <c r="B123" s="27" t="s">
        <v>931</v>
      </c>
      <c r="C123" s="18" t="s">
        <v>932</v>
      </c>
      <c r="D123" s="18" t="s">
        <v>523</v>
      </c>
      <c r="E123" s="18" t="s">
        <v>933</v>
      </c>
      <c r="F123" s="18" t="s">
        <v>213</v>
      </c>
      <c r="G123" s="15" t="n">
        <v>2024</v>
      </c>
      <c r="H123" s="15" t="n">
        <v>1</v>
      </c>
      <c r="I123" s="23" t="n">
        <v>4</v>
      </c>
      <c r="J123" s="23" t="n">
        <v>4</v>
      </c>
      <c r="K123" s="23" t="n">
        <v>5</v>
      </c>
      <c r="L123" s="23" t="n">
        <v>5</v>
      </c>
      <c r="M123" s="23" t="n">
        <v>0</v>
      </c>
      <c r="N123" s="23" t="n">
        <v>0</v>
      </c>
      <c r="O123" s="23" t="n">
        <v>2</v>
      </c>
      <c r="P123" s="23" t="n">
        <v>1.5</v>
      </c>
      <c r="Q123" s="23" t="n">
        <v>4.2</v>
      </c>
      <c r="R123" s="23" t="n">
        <v>3.5</v>
      </c>
      <c r="S123" s="23" t="n">
        <v>5</v>
      </c>
      <c r="T123" s="23" t="n">
        <v>0</v>
      </c>
      <c r="U123" s="18" t="s">
        <v>126</v>
      </c>
      <c r="V123" s="18"/>
      <c r="W123" s="28" t="n">
        <f aca="false">MIN(100,MAX(0,ROUND(SUMPRODUCT(I123:S123,$I$3:$S$3)/SUM($I$3:$S$3)/5*100+T123,1)))</f>
        <v>65.6</v>
      </c>
      <c r="X123" s="15" t="str">
        <f aca="false">IF(U123="Yes","No","Yes")</f>
        <v>Yes</v>
      </c>
      <c r="Y123" s="29" t="n">
        <f aca="false">IF(X123="Yes",W123,W123-1000)-ROW()/100000</f>
        <v>65.59877</v>
      </c>
      <c r="Z123" s="15" t="n">
        <f aca="false">RANK(Y123,$Y$5:$Y$172,0)</f>
        <v>40</v>
      </c>
      <c r="AA123" s="15" t="str">
        <f aca="false">IF(X123="No","Hold – resolve flag",IF(Z123&lt;=Weights!$C$18,"Tier 1 – Flagship launch",IF(OR(Z123&lt;=Weights!$C$19,AF123="Yes"),"Tier 2 – Priority",IF(Z123&lt;=Weights!$C$20,"Tier 3 – Standard rotation","Tier 4 – Reserve"))))</f>
        <v>Tier 2 – Priority</v>
      </c>
      <c r="AB123" s="18" t="s">
        <v>934</v>
      </c>
      <c r="AC123" s="27" t="s">
        <v>935</v>
      </c>
      <c r="AD123" s="18" t="s">
        <v>129</v>
      </c>
      <c r="AE123" s="15" t="s">
        <v>130</v>
      </c>
      <c r="AF123" s="23" t="s">
        <v>131</v>
      </c>
      <c r="AG123" s="29" t="n">
        <f aca="false">IF(OR(Z123&lt;=Weights!$C$19,AF123="Yes"),Y123,Y123-5000)</f>
        <v>65.59877</v>
      </c>
      <c r="AH123" s="15" t="n">
        <f aca="false">IF(OR(Z123&lt;=Weights!$C$19,AF123="Yes"),RANK(AG123,$AG$5:$AG$172,0),"")</f>
        <v>34</v>
      </c>
    </row>
    <row r="124" customFormat="false" ht="35.05" hidden="false" customHeight="false" outlineLevel="0" collapsed="false">
      <c r="A124" s="18" t="s">
        <v>936</v>
      </c>
      <c r="B124" s="27" t="s">
        <v>937</v>
      </c>
      <c r="C124" s="18" t="s">
        <v>938</v>
      </c>
      <c r="D124" s="18" t="s">
        <v>939</v>
      </c>
      <c r="E124" s="18" t="s">
        <v>940</v>
      </c>
      <c r="F124" s="18" t="s">
        <v>146</v>
      </c>
      <c r="G124" s="15" t="n">
        <v>2023</v>
      </c>
      <c r="H124" s="15" t="n">
        <v>1</v>
      </c>
      <c r="I124" s="23" t="n">
        <v>5</v>
      </c>
      <c r="J124" s="23" t="n">
        <v>2</v>
      </c>
      <c r="K124" s="23" t="n">
        <v>5</v>
      </c>
      <c r="L124" s="23" t="n">
        <v>5</v>
      </c>
      <c r="M124" s="23" t="n">
        <v>0</v>
      </c>
      <c r="N124" s="23" t="n">
        <v>0</v>
      </c>
      <c r="O124" s="23" t="n">
        <v>2</v>
      </c>
      <c r="P124" s="23" t="n">
        <v>2</v>
      </c>
      <c r="Q124" s="23" t="n">
        <v>3.9</v>
      </c>
      <c r="R124" s="23" t="n">
        <v>3.5</v>
      </c>
      <c r="S124" s="23" t="n">
        <v>4</v>
      </c>
      <c r="T124" s="23" t="n">
        <v>0</v>
      </c>
      <c r="U124" s="18" t="s">
        <v>126</v>
      </c>
      <c r="V124" s="18"/>
      <c r="W124" s="28" t="n">
        <f aca="false">MIN(100,MAX(0,ROUND(SUMPRODUCT(I124:S124,$I$3:$S$3)/SUM($I$3:$S$3)/5*100+T124,1)))</f>
        <v>61.1</v>
      </c>
      <c r="X124" s="15" t="str">
        <f aca="false">IF(U124="Yes","No","Yes")</f>
        <v>Yes</v>
      </c>
      <c r="Y124" s="29" t="n">
        <f aca="false">IF(X124="Yes",W124,W124-1000)-ROW()/100000</f>
        <v>61.09876</v>
      </c>
      <c r="Z124" s="15" t="n">
        <f aca="false">RANK(Y124,$Y$5:$Y$172,0)</f>
        <v>73</v>
      </c>
      <c r="AA124" s="15" t="str">
        <f aca="false">IF(X124="No","Hold – resolve flag",IF(Z124&lt;=Weights!$C$18,"Tier 1 – Flagship launch",IF(OR(Z124&lt;=Weights!$C$19,AF124="Yes"),"Tier 2 – Priority",IF(Z124&lt;=Weights!$C$20,"Tier 3 – Standard rotation","Tier 4 – Reserve"))))</f>
        <v>Tier 3 – Standard rotation</v>
      </c>
      <c r="AB124" s="18" t="s">
        <v>941</v>
      </c>
      <c r="AC124" s="27" t="s">
        <v>942</v>
      </c>
      <c r="AD124" s="18" t="s">
        <v>129</v>
      </c>
      <c r="AE124" s="15" t="s">
        <v>130</v>
      </c>
      <c r="AF124" s="23" t="s">
        <v>126</v>
      </c>
      <c r="AG124" s="29" t="n">
        <f aca="false">IF(OR(Z124&lt;=Weights!$C$19,AF124="Yes"),Y124,Y124-5000)</f>
        <v>-4938.90124</v>
      </c>
      <c r="AH124" s="15" t="str">
        <f aca="false">IF(OR(Z124&lt;=Weights!$C$19,AF124="Yes"),RANK(AG124,$AG$5:$AG$172,0),"")</f>
        <v/>
      </c>
    </row>
    <row r="125" customFormat="false" ht="35.05" hidden="false" customHeight="false" outlineLevel="0" collapsed="false">
      <c r="A125" s="18" t="s">
        <v>943</v>
      </c>
      <c r="B125" s="27" t="s">
        <v>944</v>
      </c>
      <c r="C125" s="18" t="s">
        <v>945</v>
      </c>
      <c r="D125" s="18" t="s">
        <v>497</v>
      </c>
      <c r="E125" s="18" t="s">
        <v>946</v>
      </c>
      <c r="F125" s="18" t="s">
        <v>153</v>
      </c>
      <c r="G125" s="15" t="n">
        <v>2023</v>
      </c>
      <c r="H125" s="15" t="n">
        <v>4</v>
      </c>
      <c r="I125" s="23" t="n">
        <v>5</v>
      </c>
      <c r="J125" s="23" t="n">
        <v>4</v>
      </c>
      <c r="K125" s="23" t="n">
        <v>4</v>
      </c>
      <c r="L125" s="23" t="n">
        <v>5</v>
      </c>
      <c r="M125" s="23" t="n">
        <v>0</v>
      </c>
      <c r="N125" s="23" t="n">
        <v>0</v>
      </c>
      <c r="O125" s="23" t="n">
        <v>2</v>
      </c>
      <c r="P125" s="23" t="n">
        <v>1.5</v>
      </c>
      <c r="Q125" s="23" t="n">
        <v>3.9</v>
      </c>
      <c r="R125" s="23" t="n">
        <v>3.5</v>
      </c>
      <c r="S125" s="23" t="n">
        <v>3</v>
      </c>
      <c r="T125" s="23" t="n">
        <v>0</v>
      </c>
      <c r="U125" s="18" t="s">
        <v>126</v>
      </c>
      <c r="V125" s="18"/>
      <c r="W125" s="28" t="n">
        <f aca="false">MIN(100,MAX(0,ROUND(SUMPRODUCT(I125:S125,$I$3:$S$3)/SUM($I$3:$S$3)/5*100+T125,1)))</f>
        <v>61.9</v>
      </c>
      <c r="X125" s="15" t="str">
        <f aca="false">IF(U125="Yes","No","Yes")</f>
        <v>Yes</v>
      </c>
      <c r="Y125" s="29" t="n">
        <f aca="false">IF(X125="Yes",W125,W125-1000)-ROW()/100000</f>
        <v>61.89875</v>
      </c>
      <c r="Z125" s="15" t="n">
        <f aca="false">RANK(Y125,$Y$5:$Y$172,0)</f>
        <v>65</v>
      </c>
      <c r="AA125" s="15" t="str">
        <f aca="false">IF(X125="No","Hold – resolve flag",IF(Z125&lt;=Weights!$C$18,"Tier 1 – Flagship launch",IF(OR(Z125&lt;=Weights!$C$19,AF125="Yes"),"Tier 2 – Priority",IF(Z125&lt;=Weights!$C$20,"Tier 3 – Standard rotation","Tier 4 – Reserve"))))</f>
        <v>Tier 2 – Priority</v>
      </c>
      <c r="AB125" s="18" t="s">
        <v>947</v>
      </c>
      <c r="AC125" s="27" t="s">
        <v>948</v>
      </c>
      <c r="AD125" s="18" t="s">
        <v>129</v>
      </c>
      <c r="AE125" s="15" t="s">
        <v>130</v>
      </c>
      <c r="AF125" s="23" t="s">
        <v>131</v>
      </c>
      <c r="AG125" s="29" t="n">
        <f aca="false">IF(OR(Z125&lt;=Weights!$C$19,AF125="Yes"),Y125,Y125-5000)</f>
        <v>61.89875</v>
      </c>
      <c r="AH125" s="15" t="n">
        <f aca="false">IF(OR(Z125&lt;=Weights!$C$19,AF125="Yes"),RANK(AG125,$AG$5:$AG$172,0),"")</f>
        <v>43</v>
      </c>
    </row>
    <row r="126" customFormat="false" ht="35.05" hidden="false" customHeight="false" outlineLevel="0" collapsed="false">
      <c r="A126" s="18" t="s">
        <v>949</v>
      </c>
      <c r="B126" s="27" t="s">
        <v>950</v>
      </c>
      <c r="C126" s="18" t="s">
        <v>951</v>
      </c>
      <c r="D126" s="18" t="s">
        <v>123</v>
      </c>
      <c r="E126" s="18" t="s">
        <v>952</v>
      </c>
      <c r="F126" s="18" t="s">
        <v>153</v>
      </c>
      <c r="G126" s="15" t="n">
        <v>2022</v>
      </c>
      <c r="H126" s="15" t="n">
        <v>2</v>
      </c>
      <c r="I126" s="23" t="n">
        <v>4</v>
      </c>
      <c r="J126" s="23" t="n">
        <v>5</v>
      </c>
      <c r="K126" s="23" t="n">
        <v>5</v>
      </c>
      <c r="L126" s="23" t="n">
        <v>5</v>
      </c>
      <c r="M126" s="23" t="n">
        <v>0</v>
      </c>
      <c r="N126" s="23" t="n">
        <v>0</v>
      </c>
      <c r="O126" s="23" t="n">
        <v>2</v>
      </c>
      <c r="P126" s="23" t="n">
        <v>1.5</v>
      </c>
      <c r="Q126" s="23" t="n">
        <v>3.9</v>
      </c>
      <c r="R126" s="23" t="n">
        <v>3.5</v>
      </c>
      <c r="S126" s="23" t="n">
        <v>3</v>
      </c>
      <c r="T126" s="23" t="n">
        <v>0</v>
      </c>
      <c r="U126" s="18" t="s">
        <v>126</v>
      </c>
      <c r="V126" s="18"/>
      <c r="W126" s="28" t="n">
        <f aca="false">MIN(100,MAX(0,ROUND(SUMPRODUCT(I126:S126,$I$3:$S$3)/SUM($I$3:$S$3)/5*100+T126,1)))</f>
        <v>64.3</v>
      </c>
      <c r="X126" s="15" t="str">
        <f aca="false">IF(U126="Yes","No","Yes")</f>
        <v>Yes</v>
      </c>
      <c r="Y126" s="29" t="n">
        <f aca="false">IF(X126="Yes",W126,W126-1000)-ROW()/100000</f>
        <v>64.29874</v>
      </c>
      <c r="Z126" s="15" t="n">
        <f aca="false">RANK(Y126,$Y$5:$Y$172,0)</f>
        <v>50</v>
      </c>
      <c r="AA126" s="15" t="str">
        <f aca="false">IF(X126="No","Hold – resolve flag",IF(Z126&lt;=Weights!$C$18,"Tier 1 – Flagship launch",IF(OR(Z126&lt;=Weights!$C$19,AF126="Yes"),"Tier 2 – Priority",IF(Z126&lt;=Weights!$C$20,"Tier 3 – Standard rotation","Tier 4 – Reserve"))))</f>
        <v>Tier 3 – Standard rotation</v>
      </c>
      <c r="AB126" s="18" t="s">
        <v>953</v>
      </c>
      <c r="AC126" s="27" t="s">
        <v>954</v>
      </c>
      <c r="AD126" s="18" t="s">
        <v>129</v>
      </c>
      <c r="AE126" s="15" t="s">
        <v>130</v>
      </c>
      <c r="AF126" s="23" t="s">
        <v>126</v>
      </c>
      <c r="AG126" s="29" t="n">
        <f aca="false">IF(OR(Z126&lt;=Weights!$C$19,AF126="Yes"),Y126,Y126-5000)</f>
        <v>-4935.70126</v>
      </c>
      <c r="AH126" s="15" t="str">
        <f aca="false">IF(OR(Z126&lt;=Weights!$C$19,AF126="Yes"),RANK(AG126,$AG$5:$AG$172,0),"")</f>
        <v/>
      </c>
    </row>
    <row r="127" customFormat="false" ht="35.05" hidden="false" customHeight="false" outlineLevel="0" collapsed="false">
      <c r="A127" s="18" t="s">
        <v>955</v>
      </c>
      <c r="B127" s="27" t="s">
        <v>956</v>
      </c>
      <c r="C127" s="18" t="s">
        <v>957</v>
      </c>
      <c r="D127" s="18" t="s">
        <v>523</v>
      </c>
      <c r="E127" s="18" t="s">
        <v>958</v>
      </c>
      <c r="F127" s="18" t="s">
        <v>153</v>
      </c>
      <c r="G127" s="15" t="n">
        <v>2022</v>
      </c>
      <c r="H127" s="15" t="n">
        <v>7</v>
      </c>
      <c r="I127" s="23" t="n">
        <v>5</v>
      </c>
      <c r="J127" s="23" t="n">
        <v>4</v>
      </c>
      <c r="K127" s="23" t="n">
        <v>3</v>
      </c>
      <c r="L127" s="23" t="n">
        <v>5</v>
      </c>
      <c r="M127" s="23" t="n">
        <v>0</v>
      </c>
      <c r="N127" s="23" t="n">
        <v>0</v>
      </c>
      <c r="O127" s="23" t="n">
        <v>2</v>
      </c>
      <c r="P127" s="23" t="n">
        <v>1.5</v>
      </c>
      <c r="Q127" s="23" t="n">
        <v>3.5</v>
      </c>
      <c r="R127" s="23" t="n">
        <v>3.5</v>
      </c>
      <c r="S127" s="23" t="n">
        <v>3</v>
      </c>
      <c r="T127" s="23" t="n">
        <v>0</v>
      </c>
      <c r="U127" s="18" t="s">
        <v>126</v>
      </c>
      <c r="V127" s="18"/>
      <c r="W127" s="28" t="n">
        <f aca="false">MIN(100,MAX(0,ROUND(SUMPRODUCT(I127:S127,$I$3:$S$3)/SUM($I$3:$S$3)/5*100+T127,1)))</f>
        <v>59.7</v>
      </c>
      <c r="X127" s="15" t="str">
        <f aca="false">IF(U127="Yes","No","Yes")</f>
        <v>Yes</v>
      </c>
      <c r="Y127" s="29" t="n">
        <f aca="false">IF(X127="Yes",W127,W127-1000)-ROW()/100000</f>
        <v>59.69873</v>
      </c>
      <c r="Z127" s="15" t="n">
        <f aca="false">RANK(Y127,$Y$5:$Y$172,0)</f>
        <v>82</v>
      </c>
      <c r="AA127" s="15" t="str">
        <f aca="false">IF(X127="No","Hold – resolve flag",IF(Z127&lt;=Weights!$C$18,"Tier 1 – Flagship launch",IF(OR(Z127&lt;=Weights!$C$19,AF127="Yes"),"Tier 2 – Priority",IF(Z127&lt;=Weights!$C$20,"Tier 3 – Standard rotation","Tier 4 – Reserve"))))</f>
        <v>Tier 2 – Priority</v>
      </c>
      <c r="AB127" s="18" t="s">
        <v>959</v>
      </c>
      <c r="AC127" s="27" t="s">
        <v>960</v>
      </c>
      <c r="AD127" s="18" t="s">
        <v>129</v>
      </c>
      <c r="AE127" s="15" t="s">
        <v>130</v>
      </c>
      <c r="AF127" s="23" t="s">
        <v>131</v>
      </c>
      <c r="AG127" s="29" t="n">
        <f aca="false">IF(OR(Z127&lt;=Weights!$C$19,AF127="Yes"),Y127,Y127-5000)</f>
        <v>59.69873</v>
      </c>
      <c r="AH127" s="15" t="n">
        <f aca="false">IF(OR(Z127&lt;=Weights!$C$19,AF127="Yes"),RANK(AG127,$AG$5:$AG$172,0),"")</f>
        <v>47</v>
      </c>
    </row>
    <row r="128" customFormat="false" ht="35.05" hidden="false" customHeight="false" outlineLevel="0" collapsed="false">
      <c r="A128" s="18" t="s">
        <v>961</v>
      </c>
      <c r="B128" s="27" t="s">
        <v>962</v>
      </c>
      <c r="C128" s="18" t="s">
        <v>963</v>
      </c>
      <c r="D128" s="18" t="s">
        <v>211</v>
      </c>
      <c r="E128" s="18" t="s">
        <v>236</v>
      </c>
      <c r="F128" s="18" t="s">
        <v>183</v>
      </c>
      <c r="G128" s="15" t="n">
        <v>2022</v>
      </c>
      <c r="H128" s="15" t="n">
        <v>13</v>
      </c>
      <c r="I128" s="23" t="n">
        <v>4</v>
      </c>
      <c r="J128" s="23" t="n">
        <v>5</v>
      </c>
      <c r="K128" s="23" t="n">
        <v>1</v>
      </c>
      <c r="L128" s="23" t="n">
        <v>5</v>
      </c>
      <c r="M128" s="23" t="n">
        <v>4</v>
      </c>
      <c r="N128" s="23" t="n">
        <v>0</v>
      </c>
      <c r="O128" s="23" t="n">
        <v>2</v>
      </c>
      <c r="P128" s="23" t="n">
        <v>1.5</v>
      </c>
      <c r="Q128" s="23" t="n">
        <v>3.9</v>
      </c>
      <c r="R128" s="23" t="n">
        <v>3.5</v>
      </c>
      <c r="S128" s="23" t="n">
        <v>3</v>
      </c>
      <c r="T128" s="23" t="n">
        <v>0</v>
      </c>
      <c r="U128" s="18" t="s">
        <v>126</v>
      </c>
      <c r="V128" s="18"/>
      <c r="W128" s="28" t="n">
        <f aca="false">MIN(100,MAX(0,ROUND(SUMPRODUCT(I128:S128,$I$3:$S$3)/SUM($I$3:$S$3)/5*100+T128,1)))</f>
        <v>63.5</v>
      </c>
      <c r="X128" s="15" t="str">
        <f aca="false">IF(U128="Yes","No","Yes")</f>
        <v>Yes</v>
      </c>
      <c r="Y128" s="29" t="n">
        <f aca="false">IF(X128="Yes",W128,W128-1000)-ROW()/100000</f>
        <v>63.49872</v>
      </c>
      <c r="Z128" s="15" t="n">
        <f aca="false">RANK(Y128,$Y$5:$Y$172,0)</f>
        <v>54</v>
      </c>
      <c r="AA128" s="15" t="str">
        <f aca="false">IF(X128="No","Hold – resolve flag",IF(Z128&lt;=Weights!$C$18,"Tier 1 – Flagship launch",IF(OR(Z128&lt;=Weights!$C$19,AF128="Yes"),"Tier 2 – Priority",IF(Z128&lt;=Weights!$C$20,"Tier 3 – Standard rotation","Tier 4 – Reserve"))))</f>
        <v>Tier 2 – Priority</v>
      </c>
      <c r="AB128" s="18" t="s">
        <v>964</v>
      </c>
      <c r="AC128" s="27" t="s">
        <v>965</v>
      </c>
      <c r="AD128" s="18" t="s">
        <v>129</v>
      </c>
      <c r="AE128" s="15" t="s">
        <v>130</v>
      </c>
      <c r="AF128" s="23" t="s">
        <v>131</v>
      </c>
      <c r="AG128" s="29" t="n">
        <f aca="false">IF(OR(Z128&lt;=Weights!$C$19,AF128="Yes"),Y128,Y128-5000)</f>
        <v>63.49872</v>
      </c>
      <c r="AH128" s="15" t="n">
        <f aca="false">IF(OR(Z128&lt;=Weights!$C$19,AF128="Yes"),RANK(AG128,$AG$5:$AG$172,0),"")</f>
        <v>40</v>
      </c>
    </row>
    <row r="129" customFormat="false" ht="35.05" hidden="false" customHeight="false" outlineLevel="0" collapsed="false">
      <c r="A129" s="18" t="s">
        <v>966</v>
      </c>
      <c r="B129" s="27" t="s">
        <v>967</v>
      </c>
      <c r="C129" s="18" t="s">
        <v>968</v>
      </c>
      <c r="D129" s="18" t="s">
        <v>969</v>
      </c>
      <c r="E129" s="18" t="s">
        <v>290</v>
      </c>
      <c r="F129" s="18" t="s">
        <v>153</v>
      </c>
      <c r="G129" s="15" t="n">
        <v>2023</v>
      </c>
      <c r="H129" s="15" t="n">
        <v>1</v>
      </c>
      <c r="I129" s="23" t="n">
        <v>5</v>
      </c>
      <c r="J129" s="23" t="n">
        <v>2</v>
      </c>
      <c r="K129" s="23" t="n">
        <v>5</v>
      </c>
      <c r="L129" s="23" t="n">
        <v>5</v>
      </c>
      <c r="M129" s="23" t="n">
        <v>0</v>
      </c>
      <c r="N129" s="23" t="n">
        <v>0</v>
      </c>
      <c r="O129" s="23" t="n">
        <v>2</v>
      </c>
      <c r="P129" s="23" t="n">
        <v>1.5</v>
      </c>
      <c r="Q129" s="23" t="n">
        <v>3.9</v>
      </c>
      <c r="R129" s="23" t="n">
        <v>3.5</v>
      </c>
      <c r="S129" s="23" t="n">
        <v>3</v>
      </c>
      <c r="T129" s="23" t="n">
        <v>0</v>
      </c>
      <c r="U129" s="18" t="s">
        <v>126</v>
      </c>
      <c r="V129" s="18"/>
      <c r="W129" s="28" t="n">
        <f aca="false">MIN(100,MAX(0,ROUND(SUMPRODUCT(I129:S129,$I$3:$S$3)/SUM($I$3:$S$3)/5*100+T129,1)))</f>
        <v>58.7</v>
      </c>
      <c r="X129" s="15" t="str">
        <f aca="false">IF(U129="Yes","No","Yes")</f>
        <v>Yes</v>
      </c>
      <c r="Y129" s="29" t="n">
        <f aca="false">IF(X129="Yes",W129,W129-1000)-ROW()/100000</f>
        <v>58.69871</v>
      </c>
      <c r="Z129" s="15" t="n">
        <f aca="false">RANK(Y129,$Y$5:$Y$172,0)</f>
        <v>95</v>
      </c>
      <c r="AA129" s="15" t="str">
        <f aca="false">IF(X129="No","Hold – resolve flag",IF(Z129&lt;=Weights!$C$18,"Tier 1 – Flagship launch",IF(OR(Z129&lt;=Weights!$C$19,AF129="Yes"),"Tier 2 – Priority",IF(Z129&lt;=Weights!$C$20,"Tier 3 – Standard rotation","Tier 4 – Reserve"))))</f>
        <v>Tier 2 – Priority</v>
      </c>
      <c r="AB129" s="18" t="s">
        <v>970</v>
      </c>
      <c r="AC129" s="27" t="s">
        <v>971</v>
      </c>
      <c r="AD129" s="18" t="s">
        <v>129</v>
      </c>
      <c r="AE129" s="15" t="s">
        <v>130</v>
      </c>
      <c r="AF129" s="23" t="s">
        <v>131</v>
      </c>
      <c r="AG129" s="29" t="n">
        <f aca="false">IF(OR(Z129&lt;=Weights!$C$19,AF129="Yes"),Y129,Y129-5000)</f>
        <v>58.69871</v>
      </c>
      <c r="AH129" s="15" t="n">
        <f aca="false">IF(OR(Z129&lt;=Weights!$C$19,AF129="Yes"),RANK(AG129,$AG$5:$AG$172,0),"")</f>
        <v>53</v>
      </c>
    </row>
    <row r="130" customFormat="false" ht="35.05" hidden="false" customHeight="false" outlineLevel="0" collapsed="false">
      <c r="A130" s="18" t="s">
        <v>972</v>
      </c>
      <c r="B130" s="27" t="s">
        <v>973</v>
      </c>
      <c r="C130" s="18" t="s">
        <v>974</v>
      </c>
      <c r="D130" s="18" t="s">
        <v>975</v>
      </c>
      <c r="E130" s="18" t="s">
        <v>976</v>
      </c>
      <c r="F130" s="18" t="s">
        <v>153</v>
      </c>
      <c r="G130" s="15" t="n">
        <v>2024</v>
      </c>
      <c r="H130" s="15" t="n">
        <v>7</v>
      </c>
      <c r="I130" s="23" t="n">
        <v>4</v>
      </c>
      <c r="J130" s="23" t="n">
        <v>2</v>
      </c>
      <c r="K130" s="23" t="n">
        <v>3</v>
      </c>
      <c r="L130" s="23" t="n">
        <v>5</v>
      </c>
      <c r="M130" s="23" t="n">
        <v>3</v>
      </c>
      <c r="N130" s="23" t="n">
        <v>0</v>
      </c>
      <c r="O130" s="23" t="n">
        <v>3</v>
      </c>
      <c r="P130" s="23" t="n">
        <v>1.5</v>
      </c>
      <c r="Q130" s="23" t="n">
        <v>3.1</v>
      </c>
      <c r="R130" s="23" t="n">
        <v>3.5</v>
      </c>
      <c r="S130" s="23" t="n">
        <v>3</v>
      </c>
      <c r="T130" s="23" t="n">
        <v>0</v>
      </c>
      <c r="U130" s="18" t="s">
        <v>126</v>
      </c>
      <c r="V130" s="18"/>
      <c r="W130" s="28" t="n">
        <f aca="false">MIN(100,MAX(0,ROUND(SUMPRODUCT(I130:S130,$I$3:$S$3)/SUM($I$3:$S$3)/5*100+T130,1)))</f>
        <v>58.9</v>
      </c>
      <c r="X130" s="15" t="str">
        <f aca="false">IF(U130="Yes","No","Yes")</f>
        <v>Yes</v>
      </c>
      <c r="Y130" s="29" t="n">
        <f aca="false">IF(X130="Yes",W130,W130-1000)-ROW()/100000</f>
        <v>58.8987</v>
      </c>
      <c r="Z130" s="15" t="n">
        <f aca="false">RANK(Y130,$Y$5:$Y$172,0)</f>
        <v>93</v>
      </c>
      <c r="AA130" s="15" t="str">
        <f aca="false">IF(X130="No","Hold – resolve flag",IF(Z130&lt;=Weights!$C$18,"Tier 1 – Flagship launch",IF(OR(Z130&lt;=Weights!$C$19,AF130="Yes"),"Tier 2 – Priority",IF(Z130&lt;=Weights!$C$20,"Tier 3 – Standard rotation","Tier 4 – Reserve"))))</f>
        <v>Tier 4 – Reserve</v>
      </c>
      <c r="AB130" s="18" t="s">
        <v>977</v>
      </c>
      <c r="AC130" s="27" t="s">
        <v>978</v>
      </c>
      <c r="AD130" s="18" t="s">
        <v>349</v>
      </c>
      <c r="AE130" s="15" t="s">
        <v>130</v>
      </c>
      <c r="AF130" s="23" t="s">
        <v>126</v>
      </c>
      <c r="AG130" s="29" t="n">
        <f aca="false">IF(OR(Z130&lt;=Weights!$C$19,AF130="Yes"),Y130,Y130-5000)</f>
        <v>-4941.1013</v>
      </c>
      <c r="AH130" s="15" t="str">
        <f aca="false">IF(OR(Z130&lt;=Weights!$C$19,AF130="Yes"),RANK(AG130,$AG$5:$AG$172,0),"")</f>
        <v/>
      </c>
    </row>
    <row r="131" customFormat="false" ht="35.05" hidden="false" customHeight="false" outlineLevel="0" collapsed="false">
      <c r="A131" s="18" t="s">
        <v>979</v>
      </c>
      <c r="B131" s="27" t="s">
        <v>980</v>
      </c>
      <c r="C131" s="18" t="s">
        <v>981</v>
      </c>
      <c r="D131" s="18" t="s">
        <v>982</v>
      </c>
      <c r="E131" s="18" t="s">
        <v>983</v>
      </c>
      <c r="F131" s="18" t="s">
        <v>213</v>
      </c>
      <c r="G131" s="15" t="n">
        <v>2024</v>
      </c>
      <c r="H131" s="15" t="n">
        <v>3</v>
      </c>
      <c r="I131" s="23" t="n">
        <v>5</v>
      </c>
      <c r="J131" s="23" t="n">
        <v>4</v>
      </c>
      <c r="K131" s="23" t="n">
        <v>4</v>
      </c>
      <c r="L131" s="23" t="n">
        <v>5</v>
      </c>
      <c r="M131" s="23" t="n">
        <v>0</v>
      </c>
      <c r="N131" s="23" t="n">
        <v>0</v>
      </c>
      <c r="O131" s="23" t="n">
        <v>2</v>
      </c>
      <c r="P131" s="23" t="n">
        <v>1.5</v>
      </c>
      <c r="Q131" s="23" t="n">
        <v>3.9</v>
      </c>
      <c r="R131" s="23" t="n">
        <v>3.5</v>
      </c>
      <c r="S131" s="23" t="n">
        <v>5</v>
      </c>
      <c r="T131" s="23" t="n">
        <v>0</v>
      </c>
      <c r="U131" s="18" t="s">
        <v>126</v>
      </c>
      <c r="V131" s="18"/>
      <c r="W131" s="28" t="n">
        <f aca="false">MIN(100,MAX(0,ROUND(SUMPRODUCT(I131:S131,$I$3:$S$3)/SUM($I$3:$S$3)/5*100+T131,1)))</f>
        <v>65.1</v>
      </c>
      <c r="X131" s="15" t="str">
        <f aca="false">IF(U131="Yes","No","Yes")</f>
        <v>Yes</v>
      </c>
      <c r="Y131" s="29" t="n">
        <f aca="false">IF(X131="Yes",W131,W131-1000)-ROW()/100000</f>
        <v>65.09869</v>
      </c>
      <c r="Z131" s="15" t="n">
        <f aca="false">RANK(Y131,$Y$5:$Y$172,0)</f>
        <v>43</v>
      </c>
      <c r="AA131" s="15" t="str">
        <f aca="false">IF(X131="No","Hold – resolve flag",IF(Z131&lt;=Weights!$C$18,"Tier 1 – Flagship launch",IF(OR(Z131&lt;=Weights!$C$19,AF131="Yes"),"Tier 2 – Priority",IF(Z131&lt;=Weights!$C$20,"Tier 3 – Standard rotation","Tier 4 – Reserve"))))</f>
        <v>Tier 2 – Priority</v>
      </c>
      <c r="AB131" s="18" t="s">
        <v>984</v>
      </c>
      <c r="AC131" s="27" t="s">
        <v>985</v>
      </c>
      <c r="AD131" s="18" t="s">
        <v>129</v>
      </c>
      <c r="AE131" s="15" t="s">
        <v>130</v>
      </c>
      <c r="AF131" s="23" t="s">
        <v>131</v>
      </c>
      <c r="AG131" s="29" t="n">
        <f aca="false">IF(OR(Z131&lt;=Weights!$C$19,AF131="Yes"),Y131,Y131-5000)</f>
        <v>65.09869</v>
      </c>
      <c r="AH131" s="15" t="n">
        <f aca="false">IF(OR(Z131&lt;=Weights!$C$19,AF131="Yes"),RANK(AG131,$AG$5:$AG$172,0),"")</f>
        <v>35</v>
      </c>
    </row>
    <row r="132" customFormat="false" ht="35.05" hidden="false" customHeight="false" outlineLevel="0" collapsed="false">
      <c r="A132" s="18" t="s">
        <v>986</v>
      </c>
      <c r="B132" s="27" t="s">
        <v>987</v>
      </c>
      <c r="C132" s="18" t="s">
        <v>988</v>
      </c>
      <c r="D132" s="18" t="s">
        <v>769</v>
      </c>
      <c r="E132" s="18" t="s">
        <v>989</v>
      </c>
      <c r="F132" s="18" t="s">
        <v>153</v>
      </c>
      <c r="G132" s="15" t="n">
        <v>2024</v>
      </c>
      <c r="H132" s="15" t="n">
        <v>1</v>
      </c>
      <c r="I132" s="23" t="n">
        <v>4</v>
      </c>
      <c r="J132" s="23" t="n">
        <v>4</v>
      </c>
      <c r="K132" s="23" t="n">
        <v>5</v>
      </c>
      <c r="L132" s="23" t="n">
        <v>5</v>
      </c>
      <c r="M132" s="23" t="n">
        <v>0</v>
      </c>
      <c r="N132" s="23" t="n">
        <v>0</v>
      </c>
      <c r="O132" s="23" t="n">
        <v>2</v>
      </c>
      <c r="P132" s="23" t="n">
        <v>1.5</v>
      </c>
      <c r="Q132" s="23" t="n">
        <v>3.9</v>
      </c>
      <c r="R132" s="23" t="n">
        <v>3.5</v>
      </c>
      <c r="S132" s="23" t="n">
        <v>3</v>
      </c>
      <c r="T132" s="23" t="n">
        <v>0</v>
      </c>
      <c r="U132" s="18" t="s">
        <v>126</v>
      </c>
      <c r="V132" s="18"/>
      <c r="W132" s="28" t="n">
        <f aca="false">MIN(100,MAX(0,ROUND(SUMPRODUCT(I132:S132,$I$3:$S$3)/SUM($I$3:$S$3)/5*100+T132,1)))</f>
        <v>61.9</v>
      </c>
      <c r="X132" s="15" t="str">
        <f aca="false">IF(U132="Yes","No","Yes")</f>
        <v>Yes</v>
      </c>
      <c r="Y132" s="29" t="n">
        <f aca="false">IF(X132="Yes",W132,W132-1000)-ROW()/100000</f>
        <v>61.89868</v>
      </c>
      <c r="Z132" s="15" t="n">
        <f aca="false">RANK(Y132,$Y$5:$Y$172,0)</f>
        <v>66</v>
      </c>
      <c r="AA132" s="15" t="str">
        <f aca="false">IF(X132="No","Hold – resolve flag",IF(Z132&lt;=Weights!$C$18,"Tier 1 – Flagship launch",IF(OR(Z132&lt;=Weights!$C$19,AF132="Yes"),"Tier 2 – Priority",IF(Z132&lt;=Weights!$C$20,"Tier 3 – Standard rotation","Tier 4 – Reserve"))))</f>
        <v>Tier 3 – Standard rotation</v>
      </c>
      <c r="AB132" s="18" t="s">
        <v>990</v>
      </c>
      <c r="AC132" s="27" t="s">
        <v>991</v>
      </c>
      <c r="AD132" s="18" t="s">
        <v>129</v>
      </c>
      <c r="AE132" s="15" t="s">
        <v>130</v>
      </c>
      <c r="AF132" s="23" t="s">
        <v>126</v>
      </c>
      <c r="AG132" s="29" t="n">
        <f aca="false">IF(OR(Z132&lt;=Weights!$C$19,AF132="Yes"),Y132,Y132-5000)</f>
        <v>-4938.10132</v>
      </c>
      <c r="AH132" s="15" t="str">
        <f aca="false">IF(OR(Z132&lt;=Weights!$C$19,AF132="Yes"),RANK(AG132,$AG$5:$AG$172,0),"")</f>
        <v/>
      </c>
    </row>
    <row r="133" customFormat="false" ht="35.05" hidden="false" customHeight="false" outlineLevel="0" collapsed="false">
      <c r="A133" s="18" t="s">
        <v>992</v>
      </c>
      <c r="B133" s="27" t="s">
        <v>993</v>
      </c>
      <c r="C133" s="18" t="s">
        <v>994</v>
      </c>
      <c r="D133" s="18" t="s">
        <v>144</v>
      </c>
      <c r="E133" s="18" t="s">
        <v>995</v>
      </c>
      <c r="F133" s="18" t="s">
        <v>153</v>
      </c>
      <c r="G133" s="15" t="n">
        <v>2023</v>
      </c>
      <c r="H133" s="15" t="n">
        <v>3</v>
      </c>
      <c r="I133" s="23" t="n">
        <v>5</v>
      </c>
      <c r="J133" s="23" t="n">
        <v>3</v>
      </c>
      <c r="K133" s="23" t="n">
        <v>4</v>
      </c>
      <c r="L133" s="23" t="n">
        <v>4</v>
      </c>
      <c r="M133" s="23" t="n">
        <v>0</v>
      </c>
      <c r="N133" s="23" t="n">
        <v>0</v>
      </c>
      <c r="O133" s="23" t="n">
        <v>2</v>
      </c>
      <c r="P133" s="23" t="n">
        <v>1.5</v>
      </c>
      <c r="Q133" s="23" t="n">
        <v>3.9</v>
      </c>
      <c r="R133" s="23" t="n">
        <v>3.5</v>
      </c>
      <c r="S133" s="23" t="n">
        <v>2</v>
      </c>
      <c r="T133" s="23" t="n">
        <v>0</v>
      </c>
      <c r="U133" s="18" t="s">
        <v>126</v>
      </c>
      <c r="V133" s="18"/>
      <c r="W133" s="28" t="n">
        <f aca="false">MIN(100,MAX(0,ROUND(SUMPRODUCT(I133:S133,$I$3:$S$3)/SUM($I$3:$S$3)/5*100+T133,1)))</f>
        <v>55.9</v>
      </c>
      <c r="X133" s="15" t="str">
        <f aca="false">IF(U133="Yes","No","Yes")</f>
        <v>Yes</v>
      </c>
      <c r="Y133" s="29" t="n">
        <f aca="false">IF(X133="Yes",W133,W133-1000)-ROW()/100000</f>
        <v>55.89867</v>
      </c>
      <c r="Z133" s="15" t="n">
        <f aca="false">RANK(Y133,$Y$5:$Y$172,0)</f>
        <v>114</v>
      </c>
      <c r="AA133" s="15" t="str">
        <f aca="false">IF(X133="No","Hold – resolve flag",IF(Z133&lt;=Weights!$C$18,"Tier 1 – Flagship launch",IF(OR(Z133&lt;=Weights!$C$19,AF133="Yes"),"Tier 2 – Priority",IF(Z133&lt;=Weights!$C$20,"Tier 3 – Standard rotation","Tier 4 – Reserve"))))</f>
        <v>Tier 4 – Reserve</v>
      </c>
      <c r="AB133" s="18" t="s">
        <v>996</v>
      </c>
      <c r="AC133" s="27" t="s">
        <v>997</v>
      </c>
      <c r="AD133" s="18" t="s">
        <v>129</v>
      </c>
      <c r="AE133" s="15" t="s">
        <v>130</v>
      </c>
      <c r="AF133" s="23" t="s">
        <v>126</v>
      </c>
      <c r="AG133" s="29" t="n">
        <f aca="false">IF(OR(Z133&lt;=Weights!$C$19,AF133="Yes"),Y133,Y133-5000)</f>
        <v>-4944.10133</v>
      </c>
      <c r="AH133" s="15" t="str">
        <f aca="false">IF(OR(Z133&lt;=Weights!$C$19,AF133="Yes"),RANK(AG133,$AG$5:$AG$172,0),"")</f>
        <v/>
      </c>
    </row>
    <row r="134" customFormat="false" ht="35.05" hidden="false" customHeight="false" outlineLevel="0" collapsed="false">
      <c r="A134" s="18" t="s">
        <v>998</v>
      </c>
      <c r="B134" s="27" t="s">
        <v>999</v>
      </c>
      <c r="C134" s="18" t="s">
        <v>1000</v>
      </c>
      <c r="D134" s="18" t="s">
        <v>1001</v>
      </c>
      <c r="E134" s="18" t="s">
        <v>236</v>
      </c>
      <c r="F134" s="18" t="s">
        <v>153</v>
      </c>
      <c r="G134" s="15" t="n">
        <v>2023</v>
      </c>
      <c r="H134" s="15" t="n">
        <v>9</v>
      </c>
      <c r="I134" s="23" t="n">
        <v>4</v>
      </c>
      <c r="J134" s="23" t="n">
        <v>2</v>
      </c>
      <c r="K134" s="23" t="n">
        <v>2</v>
      </c>
      <c r="L134" s="23" t="n">
        <v>5</v>
      </c>
      <c r="M134" s="23" t="n">
        <v>0</v>
      </c>
      <c r="N134" s="23" t="n">
        <v>0</v>
      </c>
      <c r="O134" s="23" t="n">
        <v>2</v>
      </c>
      <c r="P134" s="23" t="n">
        <v>1.5</v>
      </c>
      <c r="Q134" s="23" t="n">
        <v>3.9</v>
      </c>
      <c r="R134" s="23" t="n">
        <v>3.5</v>
      </c>
      <c r="S134" s="23" t="n">
        <v>3</v>
      </c>
      <c r="T134" s="23" t="n">
        <v>0</v>
      </c>
      <c r="U134" s="18" t="s">
        <v>126</v>
      </c>
      <c r="V134" s="18"/>
      <c r="W134" s="28" t="n">
        <f aca="false">MIN(100,MAX(0,ROUND(SUMPRODUCT(I134:S134,$I$3:$S$3)/SUM($I$3:$S$3)/5*100+T134,1)))</f>
        <v>52.3</v>
      </c>
      <c r="X134" s="15" t="str">
        <f aca="false">IF(U134="Yes","No","Yes")</f>
        <v>Yes</v>
      </c>
      <c r="Y134" s="29" t="n">
        <f aca="false">IF(X134="Yes",W134,W134-1000)-ROW()/100000</f>
        <v>52.29866</v>
      </c>
      <c r="Z134" s="15" t="n">
        <f aca="false">RANK(Y134,$Y$5:$Y$172,0)</f>
        <v>135</v>
      </c>
      <c r="AA134" s="15" t="str">
        <f aca="false">IF(X134="No","Hold – resolve flag",IF(Z134&lt;=Weights!$C$18,"Tier 1 – Flagship launch",IF(OR(Z134&lt;=Weights!$C$19,AF134="Yes"),"Tier 2 – Priority",IF(Z134&lt;=Weights!$C$20,"Tier 3 – Standard rotation","Tier 4 – Reserve"))))</f>
        <v>Tier 4 – Reserve</v>
      </c>
      <c r="AB134" s="18" t="s">
        <v>1002</v>
      </c>
      <c r="AC134" s="27" t="s">
        <v>1003</v>
      </c>
      <c r="AD134" s="18" t="s">
        <v>129</v>
      </c>
      <c r="AE134" s="15" t="s">
        <v>130</v>
      </c>
      <c r="AF134" s="23" t="s">
        <v>126</v>
      </c>
      <c r="AG134" s="29" t="n">
        <f aca="false">IF(OR(Z134&lt;=Weights!$C$19,AF134="Yes"),Y134,Y134-5000)</f>
        <v>-4947.70134</v>
      </c>
      <c r="AH134" s="15" t="str">
        <f aca="false">IF(OR(Z134&lt;=Weights!$C$19,AF134="Yes"),RANK(AG134,$AG$5:$AG$172,0),"")</f>
        <v/>
      </c>
    </row>
    <row r="135" customFormat="false" ht="35.05" hidden="false" customHeight="false" outlineLevel="0" collapsed="false">
      <c r="A135" s="18" t="s">
        <v>1004</v>
      </c>
      <c r="B135" s="27" t="s">
        <v>1005</v>
      </c>
      <c r="C135" s="18" t="s">
        <v>1006</v>
      </c>
      <c r="D135" s="18" t="s">
        <v>1007</v>
      </c>
      <c r="E135" s="18" t="s">
        <v>1008</v>
      </c>
      <c r="F135" s="18" t="s">
        <v>153</v>
      </c>
      <c r="G135" s="15" t="n">
        <v>2021</v>
      </c>
      <c r="H135" s="15" t="n">
        <v>6</v>
      </c>
      <c r="I135" s="23" t="n">
        <v>4</v>
      </c>
      <c r="J135" s="23" t="n">
        <v>5</v>
      </c>
      <c r="K135" s="23" t="n">
        <v>3</v>
      </c>
      <c r="L135" s="23" t="n">
        <v>5</v>
      </c>
      <c r="M135" s="23" t="n">
        <v>0</v>
      </c>
      <c r="N135" s="23" t="n">
        <v>0</v>
      </c>
      <c r="O135" s="23" t="n">
        <v>2</v>
      </c>
      <c r="P135" s="23" t="n">
        <v>1.5</v>
      </c>
      <c r="Q135" s="23" t="n">
        <v>3.9</v>
      </c>
      <c r="R135" s="23" t="n">
        <v>3.5</v>
      </c>
      <c r="S135" s="23" t="n">
        <v>2</v>
      </c>
      <c r="T135" s="23" t="n">
        <v>0</v>
      </c>
      <c r="U135" s="18" t="s">
        <v>126</v>
      </c>
      <c r="V135" s="18"/>
      <c r="W135" s="28" t="n">
        <f aca="false">MIN(100,MAX(0,ROUND(SUMPRODUCT(I135:S135,$I$3:$S$3)/SUM($I$3:$S$3)/5*100+T135,1)))</f>
        <v>59.5</v>
      </c>
      <c r="X135" s="15" t="str">
        <f aca="false">IF(U135="Yes","No","Yes")</f>
        <v>Yes</v>
      </c>
      <c r="Y135" s="29" t="n">
        <f aca="false">IF(X135="Yes",W135,W135-1000)-ROW()/100000</f>
        <v>59.49865</v>
      </c>
      <c r="Z135" s="15" t="n">
        <f aca="false">RANK(Y135,$Y$5:$Y$172,0)</f>
        <v>87</v>
      </c>
      <c r="AA135" s="15" t="str">
        <f aca="false">IF(X135="No","Hold – resolve flag",IF(Z135&lt;=Weights!$C$18,"Tier 1 – Flagship launch",IF(OR(Z135&lt;=Weights!$C$19,AF135="Yes"),"Tier 2 – Priority",IF(Z135&lt;=Weights!$C$20,"Tier 3 – Standard rotation","Tier 4 – Reserve"))))</f>
        <v>Tier 2 – Priority</v>
      </c>
      <c r="AB135" s="18" t="s">
        <v>1009</v>
      </c>
      <c r="AC135" s="27" t="s">
        <v>1010</v>
      </c>
      <c r="AD135" s="18" t="s">
        <v>129</v>
      </c>
      <c r="AE135" s="15" t="s">
        <v>130</v>
      </c>
      <c r="AF135" s="23" t="s">
        <v>131</v>
      </c>
      <c r="AG135" s="29" t="n">
        <f aca="false">IF(OR(Z135&lt;=Weights!$C$19,AF135="Yes"),Y135,Y135-5000)</f>
        <v>59.49865</v>
      </c>
      <c r="AH135" s="15" t="n">
        <f aca="false">IF(OR(Z135&lt;=Weights!$C$19,AF135="Yes"),RANK(AG135,$AG$5:$AG$172,0),"")</f>
        <v>50</v>
      </c>
    </row>
    <row r="136" customFormat="false" ht="35.05" hidden="false" customHeight="false" outlineLevel="0" collapsed="false">
      <c r="A136" s="18" t="s">
        <v>1011</v>
      </c>
      <c r="B136" s="27" t="s">
        <v>1012</v>
      </c>
      <c r="C136" s="18" t="s">
        <v>1013</v>
      </c>
      <c r="D136" s="18" t="s">
        <v>1014</v>
      </c>
      <c r="E136" s="18" t="s">
        <v>940</v>
      </c>
      <c r="F136" s="18" t="s">
        <v>153</v>
      </c>
      <c r="G136" s="15" t="n">
        <v>2024</v>
      </c>
      <c r="H136" s="15" t="n">
        <v>4</v>
      </c>
      <c r="I136" s="23" t="n">
        <v>5</v>
      </c>
      <c r="J136" s="23" t="n">
        <v>2</v>
      </c>
      <c r="K136" s="23" t="n">
        <v>4</v>
      </c>
      <c r="L136" s="23" t="n">
        <v>5</v>
      </c>
      <c r="M136" s="23" t="n">
        <v>0</v>
      </c>
      <c r="N136" s="23" t="n">
        <v>0</v>
      </c>
      <c r="O136" s="23" t="n">
        <v>2</v>
      </c>
      <c r="P136" s="23" t="n">
        <v>1.5</v>
      </c>
      <c r="Q136" s="23" t="n">
        <v>3.5</v>
      </c>
      <c r="R136" s="23" t="n">
        <v>3.5</v>
      </c>
      <c r="S136" s="23" t="n">
        <v>3</v>
      </c>
      <c r="T136" s="23" t="n">
        <v>0</v>
      </c>
      <c r="U136" s="18" t="s">
        <v>126</v>
      </c>
      <c r="V136" s="18"/>
      <c r="W136" s="28" t="n">
        <f aca="false">MIN(100,MAX(0,ROUND(SUMPRODUCT(I136:S136,$I$3:$S$3)/SUM($I$3:$S$3)/5*100+T136,1)))</f>
        <v>56.5</v>
      </c>
      <c r="X136" s="15" t="str">
        <f aca="false">IF(U136="Yes","No","Yes")</f>
        <v>Yes</v>
      </c>
      <c r="Y136" s="29" t="n">
        <f aca="false">IF(X136="Yes",W136,W136-1000)-ROW()/100000</f>
        <v>56.49864</v>
      </c>
      <c r="Z136" s="15" t="n">
        <f aca="false">RANK(Y136,$Y$5:$Y$172,0)</f>
        <v>110</v>
      </c>
      <c r="AA136" s="15" t="str">
        <f aca="false">IF(X136="No","Hold – resolve flag",IF(Z136&lt;=Weights!$C$18,"Tier 1 – Flagship launch",IF(OR(Z136&lt;=Weights!$C$19,AF136="Yes"),"Tier 2 – Priority",IF(Z136&lt;=Weights!$C$20,"Tier 3 – Standard rotation","Tier 4 – Reserve"))))</f>
        <v>Tier 2 – Priority</v>
      </c>
      <c r="AB136" s="18" t="s">
        <v>1015</v>
      </c>
      <c r="AC136" s="27" t="s">
        <v>1016</v>
      </c>
      <c r="AD136" s="18" t="s">
        <v>129</v>
      </c>
      <c r="AE136" s="15" t="s">
        <v>130</v>
      </c>
      <c r="AF136" s="23" t="s">
        <v>131</v>
      </c>
      <c r="AG136" s="29" t="n">
        <f aca="false">IF(OR(Z136&lt;=Weights!$C$19,AF136="Yes"),Y136,Y136-5000)</f>
        <v>56.49864</v>
      </c>
      <c r="AH136" s="15" t="n">
        <f aca="false">IF(OR(Z136&lt;=Weights!$C$19,AF136="Yes"),RANK(AG136,$AG$5:$AG$172,0),"")</f>
        <v>56</v>
      </c>
    </row>
    <row r="137" customFormat="false" ht="35.05" hidden="false" customHeight="false" outlineLevel="0" collapsed="false">
      <c r="A137" s="18" t="s">
        <v>1017</v>
      </c>
      <c r="B137" s="27" t="s">
        <v>1018</v>
      </c>
      <c r="C137" s="18" t="s">
        <v>1019</v>
      </c>
      <c r="D137" s="18" t="s">
        <v>550</v>
      </c>
      <c r="E137" s="18" t="s">
        <v>190</v>
      </c>
      <c r="F137" s="18" t="s">
        <v>153</v>
      </c>
      <c r="G137" s="15" t="n">
        <v>2021</v>
      </c>
      <c r="H137" s="15" t="n">
        <v>1</v>
      </c>
      <c r="I137" s="23" t="n">
        <v>5</v>
      </c>
      <c r="J137" s="23" t="n">
        <v>5</v>
      </c>
      <c r="K137" s="23" t="n">
        <v>5</v>
      </c>
      <c r="L137" s="23" t="n">
        <v>5</v>
      </c>
      <c r="M137" s="23" t="n">
        <v>0</v>
      </c>
      <c r="N137" s="23" t="n">
        <v>0</v>
      </c>
      <c r="O137" s="23" t="n">
        <v>2</v>
      </c>
      <c r="P137" s="23" t="n">
        <v>1.5</v>
      </c>
      <c r="Q137" s="23" t="n">
        <v>3.5</v>
      </c>
      <c r="R137" s="23" t="n">
        <v>3.5</v>
      </c>
      <c r="S137" s="23" t="n">
        <v>2</v>
      </c>
      <c r="T137" s="23" t="n">
        <v>0</v>
      </c>
      <c r="U137" s="18" t="s">
        <v>126</v>
      </c>
      <c r="V137" s="18"/>
      <c r="W137" s="28" t="n">
        <f aca="false">MIN(100,MAX(0,ROUND(SUMPRODUCT(I137:S137,$I$3:$S$3)/SUM($I$3:$S$3)/5*100+T137,1)))</f>
        <v>63.7</v>
      </c>
      <c r="X137" s="15" t="str">
        <f aca="false">IF(U137="Yes","No","Yes")</f>
        <v>Yes</v>
      </c>
      <c r="Y137" s="29" t="n">
        <f aca="false">IF(X137="Yes",W137,W137-1000)-ROW()/100000</f>
        <v>63.69863</v>
      </c>
      <c r="Z137" s="15" t="n">
        <f aca="false">RANK(Y137,$Y$5:$Y$172,0)</f>
        <v>52</v>
      </c>
      <c r="AA137" s="15" t="str">
        <f aca="false">IF(X137="No","Hold – resolve flag",IF(Z137&lt;=Weights!$C$18,"Tier 1 – Flagship launch",IF(OR(Z137&lt;=Weights!$C$19,AF137="Yes"),"Tier 2 – Priority",IF(Z137&lt;=Weights!$C$20,"Tier 3 – Standard rotation","Tier 4 – Reserve"))))</f>
        <v>Tier 3 – Standard rotation</v>
      </c>
      <c r="AB137" s="18" t="s">
        <v>1020</v>
      </c>
      <c r="AC137" s="27" t="s">
        <v>1021</v>
      </c>
      <c r="AD137" s="18" t="s">
        <v>129</v>
      </c>
      <c r="AE137" s="15" t="s">
        <v>130</v>
      </c>
      <c r="AF137" s="23" t="s">
        <v>126</v>
      </c>
      <c r="AG137" s="29" t="n">
        <f aca="false">IF(OR(Z137&lt;=Weights!$C$19,AF137="Yes"),Y137,Y137-5000)</f>
        <v>-4936.30137</v>
      </c>
      <c r="AH137" s="15" t="str">
        <f aca="false">IF(OR(Z137&lt;=Weights!$C$19,AF137="Yes"),RANK(AG137,$AG$5:$AG$172,0),"")</f>
        <v/>
      </c>
    </row>
    <row r="138" customFormat="false" ht="35.05" hidden="false" customHeight="false" outlineLevel="0" collapsed="false">
      <c r="A138" s="18" t="s">
        <v>1022</v>
      </c>
      <c r="B138" s="27" t="s">
        <v>1023</v>
      </c>
      <c r="C138" s="18" t="s">
        <v>1024</v>
      </c>
      <c r="D138" s="18" t="s">
        <v>235</v>
      </c>
      <c r="E138" s="18" t="s">
        <v>1025</v>
      </c>
      <c r="F138" s="18" t="s">
        <v>153</v>
      </c>
      <c r="G138" s="15" t="n">
        <v>2023</v>
      </c>
      <c r="H138" s="15" t="n">
        <v>4</v>
      </c>
      <c r="I138" s="23" t="n">
        <v>4</v>
      </c>
      <c r="J138" s="23" t="n">
        <v>2</v>
      </c>
      <c r="K138" s="23" t="n">
        <v>4</v>
      </c>
      <c r="L138" s="23" t="n">
        <v>5</v>
      </c>
      <c r="M138" s="23" t="n">
        <v>0</v>
      </c>
      <c r="N138" s="23" t="n">
        <v>0</v>
      </c>
      <c r="O138" s="23" t="n">
        <v>2</v>
      </c>
      <c r="P138" s="23" t="n">
        <v>1.5</v>
      </c>
      <c r="Q138" s="23" t="n">
        <v>3.9</v>
      </c>
      <c r="R138" s="23" t="n">
        <v>3.5</v>
      </c>
      <c r="S138" s="23" t="n">
        <v>3</v>
      </c>
      <c r="T138" s="23" t="n">
        <v>0</v>
      </c>
      <c r="U138" s="18" t="s">
        <v>126</v>
      </c>
      <c r="V138" s="18"/>
      <c r="W138" s="28" t="n">
        <f aca="false">MIN(100,MAX(0,ROUND(SUMPRODUCT(I138:S138,$I$3:$S$3)/SUM($I$3:$S$3)/5*100+T138,1)))</f>
        <v>55.5</v>
      </c>
      <c r="X138" s="15" t="str">
        <f aca="false">IF(U138="Yes","No","Yes")</f>
        <v>Yes</v>
      </c>
      <c r="Y138" s="29" t="n">
        <f aca="false">IF(X138="Yes",W138,W138-1000)-ROW()/100000</f>
        <v>55.49862</v>
      </c>
      <c r="Z138" s="15" t="n">
        <f aca="false">RANK(Y138,$Y$5:$Y$172,0)</f>
        <v>117</v>
      </c>
      <c r="AA138" s="15" t="str">
        <f aca="false">IF(X138="No","Hold – resolve flag",IF(Z138&lt;=Weights!$C$18,"Tier 1 – Flagship launch",IF(OR(Z138&lt;=Weights!$C$19,AF138="Yes"),"Tier 2 – Priority",IF(Z138&lt;=Weights!$C$20,"Tier 3 – Standard rotation","Tier 4 – Reserve"))))</f>
        <v>Tier 4 – Reserve</v>
      </c>
      <c r="AB138" s="18" t="s">
        <v>1026</v>
      </c>
      <c r="AC138" s="27" t="s">
        <v>1027</v>
      </c>
      <c r="AD138" s="18" t="s">
        <v>129</v>
      </c>
      <c r="AE138" s="15" t="s">
        <v>130</v>
      </c>
      <c r="AF138" s="23" t="s">
        <v>126</v>
      </c>
      <c r="AG138" s="29" t="n">
        <f aca="false">IF(OR(Z138&lt;=Weights!$C$19,AF138="Yes"),Y138,Y138-5000)</f>
        <v>-4944.50138</v>
      </c>
      <c r="AH138" s="15" t="str">
        <f aca="false">IF(OR(Z138&lt;=Weights!$C$19,AF138="Yes"),RANK(AG138,$AG$5:$AG$172,0),"")</f>
        <v/>
      </c>
    </row>
    <row r="139" customFormat="false" ht="35.05" hidden="false" customHeight="false" outlineLevel="0" collapsed="false">
      <c r="A139" s="18" t="s">
        <v>1028</v>
      </c>
      <c r="B139" s="27" t="s">
        <v>1029</v>
      </c>
      <c r="C139" s="18" t="s">
        <v>1030</v>
      </c>
      <c r="D139" s="18" t="s">
        <v>401</v>
      </c>
      <c r="E139" s="18" t="s">
        <v>1031</v>
      </c>
      <c r="F139" s="18" t="s">
        <v>153</v>
      </c>
      <c r="G139" s="15" t="n">
        <v>2023</v>
      </c>
      <c r="H139" s="15" t="n">
        <v>14</v>
      </c>
      <c r="I139" s="23" t="n">
        <v>5</v>
      </c>
      <c r="J139" s="23" t="n">
        <v>4</v>
      </c>
      <c r="K139" s="23" t="n">
        <v>1</v>
      </c>
      <c r="L139" s="23" t="n">
        <v>5</v>
      </c>
      <c r="M139" s="23" t="n">
        <v>0</v>
      </c>
      <c r="N139" s="23" t="n">
        <v>0</v>
      </c>
      <c r="O139" s="23" t="n">
        <v>2</v>
      </c>
      <c r="P139" s="23" t="n">
        <v>1.5</v>
      </c>
      <c r="Q139" s="23" t="n">
        <v>3.9</v>
      </c>
      <c r="R139" s="23" t="n">
        <v>3.5</v>
      </c>
      <c r="S139" s="23" t="n">
        <v>3</v>
      </c>
      <c r="T139" s="23" t="n">
        <v>0</v>
      </c>
      <c r="U139" s="18" t="s">
        <v>126</v>
      </c>
      <c r="V139" s="18"/>
      <c r="W139" s="28" t="n">
        <f aca="false">MIN(100,MAX(0,ROUND(SUMPRODUCT(I139:S139,$I$3:$S$3)/SUM($I$3:$S$3)/5*100+T139,1)))</f>
        <v>57.1</v>
      </c>
      <c r="X139" s="15" t="str">
        <f aca="false">IF(U139="Yes","No","Yes")</f>
        <v>Yes</v>
      </c>
      <c r="Y139" s="29" t="n">
        <f aca="false">IF(X139="Yes",W139,W139-1000)-ROW()/100000</f>
        <v>57.09861</v>
      </c>
      <c r="Z139" s="15" t="n">
        <f aca="false">RANK(Y139,$Y$5:$Y$172,0)</f>
        <v>103</v>
      </c>
      <c r="AA139" s="15" t="str">
        <f aca="false">IF(X139="No","Hold – resolve flag",IF(Z139&lt;=Weights!$C$18,"Tier 1 – Flagship launch",IF(OR(Z139&lt;=Weights!$C$19,AF139="Yes"),"Tier 2 – Priority",IF(Z139&lt;=Weights!$C$20,"Tier 3 – Standard rotation","Tier 4 – Reserve"))))</f>
        <v>Tier 4 – Reserve</v>
      </c>
      <c r="AB139" s="18" t="s">
        <v>1032</v>
      </c>
      <c r="AC139" s="27" t="s">
        <v>1033</v>
      </c>
      <c r="AD139" s="18" t="s">
        <v>129</v>
      </c>
      <c r="AE139" s="15" t="s">
        <v>130</v>
      </c>
      <c r="AF139" s="23" t="s">
        <v>126</v>
      </c>
      <c r="AG139" s="29" t="n">
        <f aca="false">IF(OR(Z139&lt;=Weights!$C$19,AF139="Yes"),Y139,Y139-5000)</f>
        <v>-4942.90139</v>
      </c>
      <c r="AH139" s="15" t="str">
        <f aca="false">IF(OR(Z139&lt;=Weights!$C$19,AF139="Yes"),RANK(AG139,$AG$5:$AG$172,0),"")</f>
        <v/>
      </c>
    </row>
    <row r="140" customFormat="false" ht="35.05" hidden="false" customHeight="false" outlineLevel="0" collapsed="false">
      <c r="A140" s="18" t="s">
        <v>1034</v>
      </c>
      <c r="B140" s="27" t="s">
        <v>1035</v>
      </c>
      <c r="C140" s="18" t="s">
        <v>1036</v>
      </c>
      <c r="D140" s="18" t="s">
        <v>1001</v>
      </c>
      <c r="E140" s="18" t="s">
        <v>190</v>
      </c>
      <c r="F140" s="18" t="s">
        <v>153</v>
      </c>
      <c r="G140" s="15" t="n">
        <v>2024</v>
      </c>
      <c r="H140" s="15" t="n">
        <v>11</v>
      </c>
      <c r="I140" s="23" t="n">
        <v>5</v>
      </c>
      <c r="J140" s="23" t="n">
        <v>2</v>
      </c>
      <c r="K140" s="23" t="n">
        <v>1</v>
      </c>
      <c r="L140" s="23" t="n">
        <v>5</v>
      </c>
      <c r="M140" s="23" t="n">
        <v>0</v>
      </c>
      <c r="N140" s="23" t="n">
        <v>0</v>
      </c>
      <c r="O140" s="23" t="n">
        <v>2</v>
      </c>
      <c r="P140" s="23" t="n">
        <v>1.5</v>
      </c>
      <c r="Q140" s="23" t="n">
        <v>3.5</v>
      </c>
      <c r="R140" s="23" t="n">
        <v>3.5</v>
      </c>
      <c r="S140" s="23" t="n">
        <v>3</v>
      </c>
      <c r="T140" s="23" t="n">
        <v>0</v>
      </c>
      <c r="U140" s="18" t="s">
        <v>126</v>
      </c>
      <c r="V140" s="18"/>
      <c r="W140" s="28" t="n">
        <f aca="false">MIN(100,MAX(0,ROUND(SUMPRODUCT(I140:S140,$I$3:$S$3)/SUM($I$3:$S$3)/5*100+T140,1)))</f>
        <v>51.7</v>
      </c>
      <c r="X140" s="15" t="str">
        <f aca="false">IF(U140="Yes","No","Yes")</f>
        <v>Yes</v>
      </c>
      <c r="Y140" s="29" t="n">
        <f aca="false">IF(X140="Yes",W140,W140-1000)-ROW()/100000</f>
        <v>51.6986</v>
      </c>
      <c r="Z140" s="15" t="n">
        <f aca="false">RANK(Y140,$Y$5:$Y$172,0)</f>
        <v>138</v>
      </c>
      <c r="AA140" s="15" t="str">
        <f aca="false">IF(X140="No","Hold – resolve flag",IF(Z140&lt;=Weights!$C$18,"Tier 1 – Flagship launch",IF(OR(Z140&lt;=Weights!$C$19,AF140="Yes"),"Tier 2 – Priority",IF(Z140&lt;=Weights!$C$20,"Tier 3 – Standard rotation","Tier 4 – Reserve"))))</f>
        <v>Tier 4 – Reserve</v>
      </c>
      <c r="AB140" s="18" t="s">
        <v>1037</v>
      </c>
      <c r="AC140" s="27" t="s">
        <v>1038</v>
      </c>
      <c r="AD140" s="18" t="s">
        <v>129</v>
      </c>
      <c r="AE140" s="15" t="s">
        <v>130</v>
      </c>
      <c r="AF140" s="23" t="s">
        <v>126</v>
      </c>
      <c r="AG140" s="29" t="n">
        <f aca="false">IF(OR(Z140&lt;=Weights!$C$19,AF140="Yes"),Y140,Y140-5000)</f>
        <v>-4948.3014</v>
      </c>
      <c r="AH140" s="15" t="str">
        <f aca="false">IF(OR(Z140&lt;=Weights!$C$19,AF140="Yes"),RANK(AG140,$AG$5:$AG$172,0),"")</f>
        <v/>
      </c>
    </row>
    <row r="141" customFormat="false" ht="35.05" hidden="false" customHeight="false" outlineLevel="0" collapsed="false">
      <c r="A141" s="18" t="s">
        <v>1039</v>
      </c>
      <c r="B141" s="27" t="s">
        <v>1040</v>
      </c>
      <c r="C141" s="18" t="s">
        <v>1041</v>
      </c>
      <c r="D141" s="18" t="s">
        <v>926</v>
      </c>
      <c r="E141" s="18" t="s">
        <v>1042</v>
      </c>
      <c r="F141" s="18" t="s">
        <v>153</v>
      </c>
      <c r="G141" s="15" t="n">
        <v>2024</v>
      </c>
      <c r="H141" s="15" t="n">
        <v>12</v>
      </c>
      <c r="I141" s="23" t="n">
        <v>4</v>
      </c>
      <c r="J141" s="23" t="n">
        <v>4</v>
      </c>
      <c r="K141" s="23" t="n">
        <v>1</v>
      </c>
      <c r="L141" s="23" t="n">
        <v>5</v>
      </c>
      <c r="M141" s="23" t="n">
        <v>0</v>
      </c>
      <c r="N141" s="23" t="n">
        <v>0</v>
      </c>
      <c r="O141" s="23" t="n">
        <v>2</v>
      </c>
      <c r="P141" s="23" t="n">
        <v>1.5</v>
      </c>
      <c r="Q141" s="23" t="n">
        <v>3.5</v>
      </c>
      <c r="R141" s="23" t="n">
        <v>3.5</v>
      </c>
      <c r="S141" s="23" t="n">
        <v>3</v>
      </c>
      <c r="T141" s="23" t="n">
        <v>0</v>
      </c>
      <c r="U141" s="18" t="s">
        <v>126</v>
      </c>
      <c r="V141" s="18"/>
      <c r="W141" s="28" t="n">
        <f aca="false">MIN(100,MAX(0,ROUND(SUMPRODUCT(I141:S141,$I$3:$S$3)/SUM($I$3:$S$3)/5*100+T141,1)))</f>
        <v>54.9</v>
      </c>
      <c r="X141" s="15" t="str">
        <f aca="false">IF(U141="Yes","No","Yes")</f>
        <v>Yes</v>
      </c>
      <c r="Y141" s="29" t="n">
        <f aca="false">IF(X141="Yes",W141,W141-1000)-ROW()/100000</f>
        <v>54.89859</v>
      </c>
      <c r="Z141" s="15" t="n">
        <f aca="false">RANK(Y141,$Y$5:$Y$172,0)</f>
        <v>122</v>
      </c>
      <c r="AA141" s="15" t="str">
        <f aca="false">IF(X141="No","Hold – resolve flag",IF(Z141&lt;=Weights!$C$18,"Tier 1 – Flagship launch",IF(OR(Z141&lt;=Weights!$C$19,AF141="Yes"),"Tier 2 – Priority",IF(Z141&lt;=Weights!$C$20,"Tier 3 – Standard rotation","Tier 4 – Reserve"))))</f>
        <v>Tier 4 – Reserve</v>
      </c>
      <c r="AB141" s="18" t="s">
        <v>1043</v>
      </c>
      <c r="AC141" s="27" t="s">
        <v>1044</v>
      </c>
      <c r="AD141" s="18" t="s">
        <v>129</v>
      </c>
      <c r="AE141" s="15" t="s">
        <v>130</v>
      </c>
      <c r="AF141" s="23" t="s">
        <v>126</v>
      </c>
      <c r="AG141" s="29" t="n">
        <f aca="false">IF(OR(Z141&lt;=Weights!$C$19,AF141="Yes"),Y141,Y141-5000)</f>
        <v>-4945.10141</v>
      </c>
      <c r="AH141" s="15" t="str">
        <f aca="false">IF(OR(Z141&lt;=Weights!$C$19,AF141="Yes"),RANK(AG141,$AG$5:$AG$172,0),"")</f>
        <v/>
      </c>
    </row>
    <row r="142" customFormat="false" ht="35.05" hidden="false" customHeight="false" outlineLevel="0" collapsed="false">
      <c r="A142" s="18" t="s">
        <v>1045</v>
      </c>
      <c r="B142" s="27" t="s">
        <v>1046</v>
      </c>
      <c r="C142" s="18" t="s">
        <v>1047</v>
      </c>
      <c r="D142" s="18" t="s">
        <v>248</v>
      </c>
      <c r="E142" s="18" t="s">
        <v>983</v>
      </c>
      <c r="F142" s="18" t="s">
        <v>205</v>
      </c>
      <c r="G142" s="15" t="n">
        <v>2023</v>
      </c>
      <c r="H142" s="15" t="n">
        <v>3</v>
      </c>
      <c r="I142" s="23" t="n">
        <v>5</v>
      </c>
      <c r="J142" s="23" t="n">
        <v>5</v>
      </c>
      <c r="K142" s="23" t="n">
        <v>4</v>
      </c>
      <c r="L142" s="23" t="n">
        <v>5</v>
      </c>
      <c r="M142" s="23" t="n">
        <v>0</v>
      </c>
      <c r="N142" s="23" t="n">
        <v>0</v>
      </c>
      <c r="O142" s="23" t="n">
        <v>2</v>
      </c>
      <c r="P142" s="23" t="n">
        <v>1.5</v>
      </c>
      <c r="Q142" s="23" t="n">
        <v>3.5</v>
      </c>
      <c r="R142" s="23" t="n">
        <v>3.5</v>
      </c>
      <c r="S142" s="23" t="n">
        <v>3</v>
      </c>
      <c r="T142" s="23" t="n">
        <v>0</v>
      </c>
      <c r="U142" s="18" t="s">
        <v>126</v>
      </c>
      <c r="V142" s="18"/>
      <c r="W142" s="28" t="n">
        <f aca="false">MIN(100,MAX(0,ROUND(SUMPRODUCT(I142:S142,$I$3:$S$3)/SUM($I$3:$S$3)/5*100+T142,1)))</f>
        <v>63.7</v>
      </c>
      <c r="X142" s="15" t="str">
        <f aca="false">IF(U142="Yes","No","Yes")</f>
        <v>Yes</v>
      </c>
      <c r="Y142" s="29" t="n">
        <f aca="false">IF(X142="Yes",W142,W142-1000)-ROW()/100000</f>
        <v>63.69858</v>
      </c>
      <c r="Z142" s="15" t="n">
        <f aca="false">RANK(Y142,$Y$5:$Y$172,0)</f>
        <v>53</v>
      </c>
      <c r="AA142" s="15" t="str">
        <f aca="false">IF(X142="No","Hold – resolve flag",IF(Z142&lt;=Weights!$C$18,"Tier 1 – Flagship launch",IF(OR(Z142&lt;=Weights!$C$19,AF142="Yes"),"Tier 2 – Priority",IF(Z142&lt;=Weights!$C$20,"Tier 3 – Standard rotation","Tier 4 – Reserve"))))</f>
        <v>Tier 3 – Standard rotation</v>
      </c>
      <c r="AB142" s="18" t="s">
        <v>1048</v>
      </c>
      <c r="AC142" s="27" t="s">
        <v>1049</v>
      </c>
      <c r="AD142" s="18" t="s">
        <v>129</v>
      </c>
      <c r="AE142" s="15" t="s">
        <v>130</v>
      </c>
      <c r="AF142" s="23" t="s">
        <v>126</v>
      </c>
      <c r="AG142" s="29" t="n">
        <f aca="false">IF(OR(Z142&lt;=Weights!$C$19,AF142="Yes"),Y142,Y142-5000)</f>
        <v>-4936.30142</v>
      </c>
      <c r="AH142" s="15" t="str">
        <f aca="false">IF(OR(Z142&lt;=Weights!$C$19,AF142="Yes"),RANK(AG142,$AG$5:$AG$172,0),"")</f>
        <v/>
      </c>
    </row>
    <row r="143" customFormat="false" ht="35.05" hidden="false" customHeight="false" outlineLevel="0" collapsed="false">
      <c r="A143" s="18" t="s">
        <v>1050</v>
      </c>
      <c r="B143" s="27" t="s">
        <v>1051</v>
      </c>
      <c r="C143" s="18" t="s">
        <v>1052</v>
      </c>
      <c r="D143" s="18" t="s">
        <v>144</v>
      </c>
      <c r="E143" s="18" t="s">
        <v>940</v>
      </c>
      <c r="F143" s="18" t="s">
        <v>183</v>
      </c>
      <c r="G143" s="15" t="n">
        <v>2023</v>
      </c>
      <c r="H143" s="15" t="n">
        <v>3</v>
      </c>
      <c r="I143" s="23" t="n">
        <v>5</v>
      </c>
      <c r="J143" s="23" t="n">
        <v>3</v>
      </c>
      <c r="K143" s="23" t="n">
        <v>4</v>
      </c>
      <c r="L143" s="23" t="n">
        <v>4</v>
      </c>
      <c r="M143" s="23" t="n">
        <v>0</v>
      </c>
      <c r="N143" s="23" t="n">
        <v>0</v>
      </c>
      <c r="O143" s="23" t="n">
        <v>2</v>
      </c>
      <c r="P143" s="23" t="n">
        <v>1.5</v>
      </c>
      <c r="Q143" s="23" t="n">
        <v>3.9</v>
      </c>
      <c r="R143" s="23" t="n">
        <v>3.5</v>
      </c>
      <c r="S143" s="23" t="n">
        <v>2</v>
      </c>
      <c r="T143" s="23" t="n">
        <v>0</v>
      </c>
      <c r="U143" s="18" t="s">
        <v>126</v>
      </c>
      <c r="V143" s="18"/>
      <c r="W143" s="28" t="n">
        <f aca="false">MIN(100,MAX(0,ROUND(SUMPRODUCT(I143:S143,$I$3:$S$3)/SUM($I$3:$S$3)/5*100+T143,1)))</f>
        <v>55.9</v>
      </c>
      <c r="X143" s="15" t="str">
        <f aca="false">IF(U143="Yes","No","Yes")</f>
        <v>Yes</v>
      </c>
      <c r="Y143" s="29" t="n">
        <f aca="false">IF(X143="Yes",W143,W143-1000)-ROW()/100000</f>
        <v>55.89857</v>
      </c>
      <c r="Z143" s="15" t="n">
        <f aca="false">RANK(Y143,$Y$5:$Y$172,0)</f>
        <v>115</v>
      </c>
      <c r="AA143" s="15" t="str">
        <f aca="false">IF(X143="No","Hold – resolve flag",IF(Z143&lt;=Weights!$C$18,"Tier 1 – Flagship launch",IF(OR(Z143&lt;=Weights!$C$19,AF143="Yes"),"Tier 2 – Priority",IF(Z143&lt;=Weights!$C$20,"Tier 3 – Standard rotation","Tier 4 – Reserve"))))</f>
        <v>Tier 4 – Reserve</v>
      </c>
      <c r="AB143" s="18" t="s">
        <v>1053</v>
      </c>
      <c r="AC143" s="27" t="s">
        <v>1054</v>
      </c>
      <c r="AD143" s="18" t="s">
        <v>129</v>
      </c>
      <c r="AE143" s="15" t="s">
        <v>130</v>
      </c>
      <c r="AF143" s="23" t="s">
        <v>126</v>
      </c>
      <c r="AG143" s="29" t="n">
        <f aca="false">IF(OR(Z143&lt;=Weights!$C$19,AF143="Yes"),Y143,Y143-5000)</f>
        <v>-4944.10143</v>
      </c>
      <c r="AH143" s="15" t="str">
        <f aca="false">IF(OR(Z143&lt;=Weights!$C$19,AF143="Yes"),RANK(AG143,$AG$5:$AG$172,0),"")</f>
        <v/>
      </c>
    </row>
    <row r="144" customFormat="false" ht="35.05" hidden="false" customHeight="false" outlineLevel="0" collapsed="false">
      <c r="A144" s="18" t="s">
        <v>1055</v>
      </c>
      <c r="B144" s="27" t="s">
        <v>1056</v>
      </c>
      <c r="C144" s="18" t="s">
        <v>1057</v>
      </c>
      <c r="D144" s="18" t="s">
        <v>144</v>
      </c>
      <c r="E144" s="18" t="s">
        <v>1058</v>
      </c>
      <c r="F144" s="18" t="s">
        <v>383</v>
      </c>
      <c r="G144" s="15" t="n">
        <v>2025</v>
      </c>
      <c r="H144" s="15" t="n">
        <v>3</v>
      </c>
      <c r="I144" s="23" t="n">
        <v>4</v>
      </c>
      <c r="J144" s="23" t="n">
        <v>3</v>
      </c>
      <c r="K144" s="23" t="n">
        <v>4</v>
      </c>
      <c r="L144" s="23" t="n">
        <v>4</v>
      </c>
      <c r="M144" s="23" t="n">
        <v>0</v>
      </c>
      <c r="N144" s="23" t="n">
        <v>0</v>
      </c>
      <c r="O144" s="23" t="n">
        <v>2</v>
      </c>
      <c r="P144" s="23" t="n">
        <v>1.5</v>
      </c>
      <c r="Q144" s="23" t="n">
        <v>3.5</v>
      </c>
      <c r="R144" s="23" t="n">
        <v>3.5</v>
      </c>
      <c r="S144" s="23" t="n">
        <v>3</v>
      </c>
      <c r="T144" s="23" t="n">
        <v>0</v>
      </c>
      <c r="U144" s="18" t="s">
        <v>126</v>
      </c>
      <c r="V144" s="18"/>
      <c r="W144" s="28" t="n">
        <f aca="false">MIN(100,MAX(0,ROUND(SUMPRODUCT(I144:S144,$I$3:$S$3)/SUM($I$3:$S$3)/5*100+T144,1)))</f>
        <v>55.3</v>
      </c>
      <c r="X144" s="15" t="str">
        <f aca="false">IF(U144="Yes","No","Yes")</f>
        <v>Yes</v>
      </c>
      <c r="Y144" s="29" t="n">
        <f aca="false">IF(X144="Yes",W144,W144-1000)-ROW()/100000</f>
        <v>55.29856</v>
      </c>
      <c r="Z144" s="15" t="n">
        <f aca="false">RANK(Y144,$Y$5:$Y$172,0)</f>
        <v>119</v>
      </c>
      <c r="AA144" s="15" t="str">
        <f aca="false">IF(X144="No","Hold – resolve flag",IF(Z144&lt;=Weights!$C$18,"Tier 1 – Flagship launch",IF(OR(Z144&lt;=Weights!$C$19,AF144="Yes"),"Tier 2 – Priority",IF(Z144&lt;=Weights!$C$20,"Tier 3 – Standard rotation","Tier 4 – Reserve"))))</f>
        <v>Tier 4 – Reserve</v>
      </c>
      <c r="AB144" s="18" t="s">
        <v>1059</v>
      </c>
      <c r="AC144" s="27" t="s">
        <v>1060</v>
      </c>
      <c r="AD144" s="18" t="s">
        <v>129</v>
      </c>
      <c r="AE144" s="15" t="s">
        <v>130</v>
      </c>
      <c r="AF144" s="23" t="s">
        <v>126</v>
      </c>
      <c r="AG144" s="29" t="n">
        <f aca="false">IF(OR(Z144&lt;=Weights!$C$19,AF144="Yes"),Y144,Y144-5000)</f>
        <v>-4944.70144</v>
      </c>
      <c r="AH144" s="15" t="str">
        <f aca="false">IF(OR(Z144&lt;=Weights!$C$19,AF144="Yes"),RANK(AG144,$AG$5:$AG$172,0),"")</f>
        <v/>
      </c>
    </row>
    <row r="145" customFormat="false" ht="35.05" hidden="false" customHeight="false" outlineLevel="0" collapsed="false">
      <c r="A145" s="18" t="s">
        <v>1061</v>
      </c>
      <c r="B145" s="27" t="s">
        <v>1062</v>
      </c>
      <c r="C145" s="18" t="s">
        <v>1063</v>
      </c>
      <c r="D145" s="18" t="s">
        <v>1064</v>
      </c>
      <c r="E145" s="18" t="s">
        <v>1065</v>
      </c>
      <c r="F145" s="18" t="s">
        <v>263</v>
      </c>
      <c r="G145" s="15" t="n">
        <v>2023</v>
      </c>
      <c r="H145" s="15" t="n">
        <v>6</v>
      </c>
      <c r="I145" s="23" t="n">
        <v>4</v>
      </c>
      <c r="J145" s="23" t="n">
        <v>4</v>
      </c>
      <c r="K145" s="23" t="n">
        <v>3</v>
      </c>
      <c r="L145" s="23" t="n">
        <v>5</v>
      </c>
      <c r="M145" s="23" t="n">
        <v>0</v>
      </c>
      <c r="N145" s="23" t="n">
        <v>0</v>
      </c>
      <c r="O145" s="23" t="n">
        <v>2</v>
      </c>
      <c r="P145" s="23" t="n">
        <v>1.5</v>
      </c>
      <c r="Q145" s="23" t="n">
        <v>3.5</v>
      </c>
      <c r="R145" s="23" t="n">
        <v>3.5</v>
      </c>
      <c r="S145" s="23" t="n">
        <v>3</v>
      </c>
      <c r="T145" s="23" t="n">
        <v>0</v>
      </c>
      <c r="U145" s="18" t="s">
        <v>126</v>
      </c>
      <c r="V145" s="18"/>
      <c r="W145" s="28" t="n">
        <f aca="false">MIN(100,MAX(0,ROUND(SUMPRODUCT(I145:S145,$I$3:$S$3)/SUM($I$3:$S$3)/5*100+T145,1)))</f>
        <v>58.1</v>
      </c>
      <c r="X145" s="15" t="str">
        <f aca="false">IF(U145="Yes","No","Yes")</f>
        <v>Yes</v>
      </c>
      <c r="Y145" s="29" t="n">
        <f aca="false">IF(X145="Yes",W145,W145-1000)-ROW()/100000</f>
        <v>58.09855</v>
      </c>
      <c r="Z145" s="15" t="n">
        <f aca="false">RANK(Y145,$Y$5:$Y$172,0)</f>
        <v>97</v>
      </c>
      <c r="AA145" s="15" t="str">
        <f aca="false">IF(X145="No","Hold – resolve flag",IF(Z145&lt;=Weights!$C$18,"Tier 1 – Flagship launch",IF(OR(Z145&lt;=Weights!$C$19,AF145="Yes"),"Tier 2 – Priority",IF(Z145&lt;=Weights!$C$20,"Tier 3 – Standard rotation","Tier 4 – Reserve"))))</f>
        <v>Tier 2 – Priority</v>
      </c>
      <c r="AB145" s="18" t="s">
        <v>1066</v>
      </c>
      <c r="AC145" s="27" t="s">
        <v>1067</v>
      </c>
      <c r="AD145" s="18" t="s">
        <v>129</v>
      </c>
      <c r="AE145" s="15" t="s">
        <v>130</v>
      </c>
      <c r="AF145" s="23" t="s">
        <v>131</v>
      </c>
      <c r="AG145" s="29" t="n">
        <f aca="false">IF(OR(Z145&lt;=Weights!$C$19,AF145="Yes"),Y145,Y145-5000)</f>
        <v>58.09855</v>
      </c>
      <c r="AH145" s="15" t="n">
        <f aca="false">IF(OR(Z145&lt;=Weights!$C$19,AF145="Yes"),RANK(AG145,$AG$5:$AG$172,0),"")</f>
        <v>54</v>
      </c>
    </row>
    <row r="146" customFormat="false" ht="35.05" hidden="false" customHeight="false" outlineLevel="0" collapsed="false">
      <c r="A146" s="18" t="s">
        <v>1068</v>
      </c>
      <c r="B146" s="27" t="s">
        <v>1069</v>
      </c>
      <c r="C146" s="18" t="s">
        <v>1070</v>
      </c>
      <c r="D146" s="18" t="s">
        <v>144</v>
      </c>
      <c r="E146" s="18" t="s">
        <v>1058</v>
      </c>
      <c r="F146" s="18" t="s">
        <v>383</v>
      </c>
      <c r="G146" s="15" t="n">
        <v>2025</v>
      </c>
      <c r="H146" s="15" t="n">
        <v>3</v>
      </c>
      <c r="I146" s="23" t="n">
        <v>4</v>
      </c>
      <c r="J146" s="23" t="n">
        <v>3</v>
      </c>
      <c r="K146" s="23" t="n">
        <v>4</v>
      </c>
      <c r="L146" s="23" t="n">
        <v>4</v>
      </c>
      <c r="M146" s="23" t="n">
        <v>0</v>
      </c>
      <c r="N146" s="23" t="n">
        <v>0</v>
      </c>
      <c r="O146" s="23" t="n">
        <v>2</v>
      </c>
      <c r="P146" s="23" t="n">
        <v>1.5</v>
      </c>
      <c r="Q146" s="23" t="n">
        <v>3.5</v>
      </c>
      <c r="R146" s="23" t="n">
        <v>3.5</v>
      </c>
      <c r="S146" s="23" t="n">
        <v>3</v>
      </c>
      <c r="T146" s="23" t="n">
        <v>0</v>
      </c>
      <c r="U146" s="18" t="s">
        <v>126</v>
      </c>
      <c r="V146" s="18"/>
      <c r="W146" s="28" t="n">
        <f aca="false">MIN(100,MAX(0,ROUND(SUMPRODUCT(I146:S146,$I$3:$S$3)/SUM($I$3:$S$3)/5*100+T146,1)))</f>
        <v>55.3</v>
      </c>
      <c r="X146" s="15" t="str">
        <f aca="false">IF(U146="Yes","No","Yes")</f>
        <v>Yes</v>
      </c>
      <c r="Y146" s="29" t="n">
        <f aca="false">IF(X146="Yes",W146,W146-1000)-ROW()/100000</f>
        <v>55.29854</v>
      </c>
      <c r="Z146" s="15" t="n">
        <f aca="false">RANK(Y146,$Y$5:$Y$172,0)</f>
        <v>120</v>
      </c>
      <c r="AA146" s="15" t="str">
        <f aca="false">IF(X146="No","Hold – resolve flag",IF(Z146&lt;=Weights!$C$18,"Tier 1 – Flagship launch",IF(OR(Z146&lt;=Weights!$C$19,AF146="Yes"),"Tier 2 – Priority",IF(Z146&lt;=Weights!$C$20,"Tier 3 – Standard rotation","Tier 4 – Reserve"))))</f>
        <v>Tier 4 – Reserve</v>
      </c>
      <c r="AB146" s="18" t="s">
        <v>1059</v>
      </c>
      <c r="AC146" s="27" t="s">
        <v>1060</v>
      </c>
      <c r="AD146" s="18" t="s">
        <v>129</v>
      </c>
      <c r="AE146" s="15" t="s">
        <v>130</v>
      </c>
      <c r="AF146" s="23" t="s">
        <v>126</v>
      </c>
      <c r="AG146" s="29" t="n">
        <f aca="false">IF(OR(Z146&lt;=Weights!$C$19,AF146="Yes"),Y146,Y146-5000)</f>
        <v>-4944.70146</v>
      </c>
      <c r="AH146" s="15" t="str">
        <f aca="false">IF(OR(Z146&lt;=Weights!$C$19,AF146="Yes"),RANK(AG146,$AG$5:$AG$172,0),"")</f>
        <v/>
      </c>
    </row>
    <row r="147" customFormat="false" ht="35.05" hidden="false" customHeight="false" outlineLevel="0" collapsed="false">
      <c r="A147" s="18" t="s">
        <v>1071</v>
      </c>
      <c r="B147" s="27" t="s">
        <v>1072</v>
      </c>
      <c r="C147" s="18" t="s">
        <v>1073</v>
      </c>
      <c r="D147" s="18" t="s">
        <v>1074</v>
      </c>
      <c r="E147" s="18" t="s">
        <v>1075</v>
      </c>
      <c r="F147" s="18" t="s">
        <v>153</v>
      </c>
      <c r="G147" s="15" t="n">
        <v>2024</v>
      </c>
      <c r="H147" s="15" t="n">
        <v>3</v>
      </c>
      <c r="I147" s="23" t="n">
        <v>4</v>
      </c>
      <c r="J147" s="23" t="n">
        <v>2</v>
      </c>
      <c r="K147" s="23" t="n">
        <v>4</v>
      </c>
      <c r="L147" s="23" t="n">
        <v>5</v>
      </c>
      <c r="M147" s="23" t="n">
        <v>0</v>
      </c>
      <c r="N147" s="23" t="n">
        <v>0</v>
      </c>
      <c r="O147" s="23" t="n">
        <v>2</v>
      </c>
      <c r="P147" s="23" t="n">
        <v>1.5</v>
      </c>
      <c r="Q147" s="23" t="n">
        <v>3.5</v>
      </c>
      <c r="R147" s="23" t="n">
        <v>3.5</v>
      </c>
      <c r="S147" s="23" t="n">
        <v>3</v>
      </c>
      <c r="T147" s="23" t="n">
        <v>0</v>
      </c>
      <c r="U147" s="18" t="s">
        <v>126</v>
      </c>
      <c r="V147" s="18"/>
      <c r="W147" s="28" t="n">
        <f aca="false">MIN(100,MAX(0,ROUND(SUMPRODUCT(I147:S147,$I$3:$S$3)/SUM($I$3:$S$3)/5*100+T147,1)))</f>
        <v>54.9</v>
      </c>
      <c r="X147" s="15" t="str">
        <f aca="false">IF(U147="Yes","No","Yes")</f>
        <v>Yes</v>
      </c>
      <c r="Y147" s="29" t="n">
        <f aca="false">IF(X147="Yes",W147,W147-1000)-ROW()/100000</f>
        <v>54.89853</v>
      </c>
      <c r="Z147" s="15" t="n">
        <f aca="false">RANK(Y147,$Y$5:$Y$172,0)</f>
        <v>123</v>
      </c>
      <c r="AA147" s="15" t="str">
        <f aca="false">IF(X147="No","Hold – resolve flag",IF(Z147&lt;=Weights!$C$18,"Tier 1 – Flagship launch",IF(OR(Z147&lt;=Weights!$C$19,AF147="Yes"),"Tier 2 – Priority",IF(Z147&lt;=Weights!$C$20,"Tier 3 – Standard rotation","Tier 4 – Reserve"))))</f>
        <v>Tier 2 – Priority</v>
      </c>
      <c r="AB147" s="18" t="s">
        <v>1076</v>
      </c>
      <c r="AC147" s="27" t="s">
        <v>1077</v>
      </c>
      <c r="AD147" s="18" t="s">
        <v>129</v>
      </c>
      <c r="AE147" s="15" t="s">
        <v>130</v>
      </c>
      <c r="AF147" s="23" t="s">
        <v>131</v>
      </c>
      <c r="AG147" s="29" t="n">
        <f aca="false">IF(OR(Z147&lt;=Weights!$C$19,AF147="Yes"),Y147,Y147-5000)</f>
        <v>54.89853</v>
      </c>
      <c r="AH147" s="15" t="n">
        <f aca="false">IF(OR(Z147&lt;=Weights!$C$19,AF147="Yes"),RANK(AG147,$AG$5:$AG$172,0),"")</f>
        <v>57</v>
      </c>
    </row>
    <row r="148" customFormat="false" ht="35.05" hidden="false" customHeight="false" outlineLevel="0" collapsed="false">
      <c r="A148" s="18" t="s">
        <v>1078</v>
      </c>
      <c r="B148" s="27" t="s">
        <v>1079</v>
      </c>
      <c r="C148" s="18" t="s">
        <v>1080</v>
      </c>
      <c r="D148" s="18" t="s">
        <v>255</v>
      </c>
      <c r="E148" s="18" t="s">
        <v>236</v>
      </c>
      <c r="F148" s="18" t="s">
        <v>153</v>
      </c>
      <c r="G148" s="15" t="n">
        <v>2024</v>
      </c>
      <c r="H148" s="15" t="n">
        <v>3</v>
      </c>
      <c r="I148" s="23" t="n">
        <v>4</v>
      </c>
      <c r="J148" s="23" t="n">
        <v>5</v>
      </c>
      <c r="K148" s="23" t="n">
        <v>4</v>
      </c>
      <c r="L148" s="23" t="n">
        <v>5</v>
      </c>
      <c r="M148" s="23" t="n">
        <v>0</v>
      </c>
      <c r="N148" s="23" t="n">
        <v>0</v>
      </c>
      <c r="O148" s="23" t="n">
        <v>2</v>
      </c>
      <c r="P148" s="23" t="n">
        <v>1.5</v>
      </c>
      <c r="Q148" s="23" t="n">
        <v>1.6</v>
      </c>
      <c r="R148" s="23" t="n">
        <v>3.5</v>
      </c>
      <c r="S148" s="23" t="n">
        <v>3</v>
      </c>
      <c r="T148" s="23" t="n">
        <v>0</v>
      </c>
      <c r="U148" s="18" t="s">
        <v>126</v>
      </c>
      <c r="V148" s="18"/>
      <c r="W148" s="28" t="n">
        <f aca="false">MIN(100,MAX(0,ROUND(SUMPRODUCT(I148:S148,$I$3:$S$3)/SUM($I$3:$S$3)/5*100+T148,1)))</f>
        <v>59.1</v>
      </c>
      <c r="X148" s="15" t="str">
        <f aca="false">IF(U148="Yes","No","Yes")</f>
        <v>Yes</v>
      </c>
      <c r="Y148" s="29" t="n">
        <f aca="false">IF(X148="Yes",W148,W148-1000)-ROW()/100000</f>
        <v>59.09852</v>
      </c>
      <c r="Z148" s="15" t="n">
        <f aca="false">RANK(Y148,$Y$5:$Y$172,0)</f>
        <v>90</v>
      </c>
      <c r="AA148" s="15" t="str">
        <f aca="false">IF(X148="No","Hold – resolve flag",IF(Z148&lt;=Weights!$C$18,"Tier 1 – Flagship launch",IF(OR(Z148&lt;=Weights!$C$19,AF148="Yes"),"Tier 2 – Priority",IF(Z148&lt;=Weights!$C$20,"Tier 3 – Standard rotation","Tier 4 – Reserve"))))</f>
        <v>Tier 4 – Reserve</v>
      </c>
      <c r="AB148" s="18" t="s">
        <v>1081</v>
      </c>
      <c r="AC148" s="27" t="s">
        <v>1082</v>
      </c>
      <c r="AD148" s="18" t="s">
        <v>334</v>
      </c>
      <c r="AE148" s="15" t="s">
        <v>130</v>
      </c>
      <c r="AF148" s="23" t="s">
        <v>126</v>
      </c>
      <c r="AG148" s="29" t="n">
        <f aca="false">IF(OR(Z148&lt;=Weights!$C$19,AF148="Yes"),Y148,Y148-5000)</f>
        <v>-4940.90148</v>
      </c>
      <c r="AH148" s="15" t="str">
        <f aca="false">IF(OR(Z148&lt;=Weights!$C$19,AF148="Yes"),RANK(AG148,$AG$5:$AG$172,0),"")</f>
        <v/>
      </c>
    </row>
    <row r="149" customFormat="false" ht="35.05" hidden="false" customHeight="false" outlineLevel="0" collapsed="false">
      <c r="A149" s="18" t="s">
        <v>1083</v>
      </c>
      <c r="B149" s="27" t="s">
        <v>1084</v>
      </c>
      <c r="C149" s="18" t="s">
        <v>1085</v>
      </c>
      <c r="D149" s="18" t="s">
        <v>1086</v>
      </c>
      <c r="E149" s="18" t="s">
        <v>1087</v>
      </c>
      <c r="F149" s="18" t="s">
        <v>153</v>
      </c>
      <c r="G149" s="15" t="n">
        <v>2024</v>
      </c>
      <c r="H149" s="15" t="n">
        <v>1</v>
      </c>
      <c r="I149" s="23" t="n">
        <v>5</v>
      </c>
      <c r="J149" s="23" t="n">
        <v>2</v>
      </c>
      <c r="K149" s="23" t="n">
        <v>5</v>
      </c>
      <c r="L149" s="23" t="n">
        <v>5</v>
      </c>
      <c r="M149" s="23" t="n">
        <v>0</v>
      </c>
      <c r="N149" s="23" t="n">
        <v>0</v>
      </c>
      <c r="O149" s="23" t="n">
        <v>2</v>
      </c>
      <c r="P149" s="23" t="n">
        <v>1.5</v>
      </c>
      <c r="Q149" s="23" t="n">
        <v>2.8</v>
      </c>
      <c r="R149" s="23" t="n">
        <v>3.5</v>
      </c>
      <c r="S149" s="23" t="n">
        <v>3</v>
      </c>
      <c r="T149" s="23" t="n">
        <v>0</v>
      </c>
      <c r="U149" s="18" t="s">
        <v>126</v>
      </c>
      <c r="V149" s="18"/>
      <c r="W149" s="28" t="n">
        <f aca="false">MIN(100,MAX(0,ROUND(SUMPRODUCT(I149:S149,$I$3:$S$3)/SUM($I$3:$S$3)/5*100+T149,1)))</f>
        <v>57</v>
      </c>
      <c r="X149" s="15" t="str">
        <f aca="false">IF(U149="Yes","No","Yes")</f>
        <v>Yes</v>
      </c>
      <c r="Y149" s="29" t="n">
        <f aca="false">IF(X149="Yes",W149,W149-1000)-ROW()/100000</f>
        <v>56.99851</v>
      </c>
      <c r="Z149" s="15" t="n">
        <f aca="false">RANK(Y149,$Y$5:$Y$172,0)</f>
        <v>105</v>
      </c>
      <c r="AA149" s="15" t="str">
        <f aca="false">IF(X149="No","Hold – resolve flag",IF(Z149&lt;=Weights!$C$18,"Tier 1 – Flagship launch",IF(OR(Z149&lt;=Weights!$C$19,AF149="Yes"),"Tier 2 – Priority",IF(Z149&lt;=Weights!$C$20,"Tier 3 – Standard rotation","Tier 4 – Reserve"))))</f>
        <v>Tier 2 – Priority</v>
      </c>
      <c r="AB149" s="18" t="s">
        <v>1088</v>
      </c>
      <c r="AC149" s="27" t="s">
        <v>1089</v>
      </c>
      <c r="AD149" s="18" t="s">
        <v>349</v>
      </c>
      <c r="AE149" s="15" t="s">
        <v>130</v>
      </c>
      <c r="AF149" s="23" t="s">
        <v>131</v>
      </c>
      <c r="AG149" s="29" t="n">
        <f aca="false">IF(OR(Z149&lt;=Weights!$C$19,AF149="Yes"),Y149,Y149-5000)</f>
        <v>56.99851</v>
      </c>
      <c r="AH149" s="15" t="n">
        <f aca="false">IF(OR(Z149&lt;=Weights!$C$19,AF149="Yes"),RANK(AG149,$AG$5:$AG$172,0),"")</f>
        <v>55</v>
      </c>
    </row>
    <row r="150" customFormat="false" ht="35.05" hidden="false" customHeight="false" outlineLevel="0" collapsed="false">
      <c r="A150" s="18" t="s">
        <v>1090</v>
      </c>
      <c r="B150" s="27" t="s">
        <v>1091</v>
      </c>
      <c r="C150" s="18" t="s">
        <v>1092</v>
      </c>
      <c r="D150" s="18" t="s">
        <v>776</v>
      </c>
      <c r="E150" s="18" t="s">
        <v>346</v>
      </c>
      <c r="F150" s="18" t="s">
        <v>153</v>
      </c>
      <c r="G150" s="15" t="n">
        <v>2024</v>
      </c>
      <c r="H150" s="15" t="n">
        <v>4</v>
      </c>
      <c r="I150" s="23" t="n">
        <v>4</v>
      </c>
      <c r="J150" s="23" t="n">
        <v>4</v>
      </c>
      <c r="K150" s="23" t="n">
        <v>4</v>
      </c>
      <c r="L150" s="23" t="n">
        <v>5</v>
      </c>
      <c r="M150" s="23" t="n">
        <v>0</v>
      </c>
      <c r="N150" s="23" t="n">
        <v>0</v>
      </c>
      <c r="O150" s="23" t="n">
        <v>2</v>
      </c>
      <c r="P150" s="23" t="n">
        <v>1.5</v>
      </c>
      <c r="Q150" s="23" t="n">
        <v>1.6</v>
      </c>
      <c r="R150" s="23" t="n">
        <v>3.5</v>
      </c>
      <c r="S150" s="23" t="n">
        <v>3</v>
      </c>
      <c r="T150" s="23" t="n">
        <v>0</v>
      </c>
      <c r="U150" s="18" t="s">
        <v>126</v>
      </c>
      <c r="V150" s="18"/>
      <c r="W150" s="28" t="n">
        <f aca="false">MIN(100,MAX(0,ROUND(SUMPRODUCT(I150:S150,$I$3:$S$3)/SUM($I$3:$S$3)/5*100+T150,1)))</f>
        <v>56.7</v>
      </c>
      <c r="X150" s="15" t="str">
        <f aca="false">IF(U150="Yes","No","Yes")</f>
        <v>Yes</v>
      </c>
      <c r="Y150" s="29" t="n">
        <f aca="false">IF(X150="Yes",W150,W150-1000)-ROW()/100000</f>
        <v>56.6985</v>
      </c>
      <c r="Z150" s="15" t="n">
        <f aca="false">RANK(Y150,$Y$5:$Y$172,0)</f>
        <v>108</v>
      </c>
      <c r="AA150" s="15" t="str">
        <f aca="false">IF(X150="No","Hold – resolve flag",IF(Z150&lt;=Weights!$C$18,"Tier 1 – Flagship launch",IF(OR(Z150&lt;=Weights!$C$19,AF150="Yes"),"Tier 2 – Priority",IF(Z150&lt;=Weights!$C$20,"Tier 3 – Standard rotation","Tier 4 – Reserve"))))</f>
        <v>Tier 4 – Reserve</v>
      </c>
      <c r="AB150" s="18" t="s">
        <v>1093</v>
      </c>
      <c r="AC150" s="27" t="s">
        <v>1094</v>
      </c>
      <c r="AD150" s="18" t="s">
        <v>334</v>
      </c>
      <c r="AE150" s="15" t="s">
        <v>130</v>
      </c>
      <c r="AF150" s="23" t="s">
        <v>126</v>
      </c>
      <c r="AG150" s="29" t="n">
        <f aca="false">IF(OR(Z150&lt;=Weights!$C$19,AF150="Yes"),Y150,Y150-5000)</f>
        <v>-4943.3015</v>
      </c>
      <c r="AH150" s="15" t="str">
        <f aca="false">IF(OR(Z150&lt;=Weights!$C$19,AF150="Yes"),RANK(AG150,$AG$5:$AG$172,0),"")</f>
        <v/>
      </c>
    </row>
    <row r="151" customFormat="false" ht="35.05" hidden="false" customHeight="false" outlineLevel="0" collapsed="false">
      <c r="A151" s="18" t="s">
        <v>1095</v>
      </c>
      <c r="B151" s="27" t="s">
        <v>1096</v>
      </c>
      <c r="C151" s="18" t="s">
        <v>1097</v>
      </c>
      <c r="D151" s="18" t="s">
        <v>596</v>
      </c>
      <c r="E151" s="18" t="s">
        <v>1098</v>
      </c>
      <c r="F151" s="18" t="s">
        <v>153</v>
      </c>
      <c r="G151" s="15" t="n">
        <v>2021</v>
      </c>
      <c r="H151" s="15" t="n">
        <v>3</v>
      </c>
      <c r="I151" s="23" t="n">
        <v>4</v>
      </c>
      <c r="J151" s="23" t="n">
        <v>5</v>
      </c>
      <c r="K151" s="23" t="n">
        <v>4</v>
      </c>
      <c r="L151" s="23" t="n">
        <v>5</v>
      </c>
      <c r="M151" s="23" t="n">
        <v>0</v>
      </c>
      <c r="N151" s="23" t="n">
        <v>0</v>
      </c>
      <c r="O151" s="23" t="n">
        <v>2</v>
      </c>
      <c r="P151" s="23" t="n">
        <v>1.5</v>
      </c>
      <c r="Q151" s="23" t="n">
        <v>3.9</v>
      </c>
      <c r="R151" s="23" t="n">
        <v>3.5</v>
      </c>
      <c r="S151" s="23" t="n">
        <v>2</v>
      </c>
      <c r="T151" s="23" t="n">
        <v>0</v>
      </c>
      <c r="U151" s="18" t="s">
        <v>126</v>
      </c>
      <c r="V151" s="18"/>
      <c r="W151" s="28" t="n">
        <f aca="false">MIN(100,MAX(0,ROUND(SUMPRODUCT(I151:S151,$I$3:$S$3)/SUM($I$3:$S$3)/5*100+T151,1)))</f>
        <v>61.1</v>
      </c>
      <c r="X151" s="15" t="str">
        <f aca="false">IF(U151="Yes","No","Yes")</f>
        <v>Yes</v>
      </c>
      <c r="Y151" s="29" t="n">
        <f aca="false">IF(X151="Yes",W151,W151-1000)-ROW()/100000</f>
        <v>61.09849</v>
      </c>
      <c r="Z151" s="15" t="n">
        <f aca="false">RANK(Y151,$Y$5:$Y$172,0)</f>
        <v>74</v>
      </c>
      <c r="AA151" s="15" t="str">
        <f aca="false">IF(X151="No","Hold – resolve flag",IF(Z151&lt;=Weights!$C$18,"Tier 1 – Flagship launch",IF(OR(Z151&lt;=Weights!$C$19,AF151="Yes"),"Tier 2 – Priority",IF(Z151&lt;=Weights!$C$20,"Tier 3 – Standard rotation","Tier 4 – Reserve"))))</f>
        <v>Tier 3 – Standard rotation</v>
      </c>
      <c r="AB151" s="18" t="s">
        <v>1099</v>
      </c>
      <c r="AC151" s="27" t="s">
        <v>1100</v>
      </c>
      <c r="AD151" s="18" t="s">
        <v>129</v>
      </c>
      <c r="AE151" s="15" t="s">
        <v>130</v>
      </c>
      <c r="AF151" s="23" t="s">
        <v>126</v>
      </c>
      <c r="AG151" s="29" t="n">
        <f aca="false">IF(OR(Z151&lt;=Weights!$C$19,AF151="Yes"),Y151,Y151-5000)</f>
        <v>-4938.90151</v>
      </c>
      <c r="AH151" s="15" t="str">
        <f aca="false">IF(OR(Z151&lt;=Weights!$C$19,AF151="Yes"),RANK(AG151,$AG$5:$AG$172,0),"")</f>
        <v/>
      </c>
    </row>
    <row r="152" customFormat="false" ht="35.05" hidden="false" customHeight="false" outlineLevel="0" collapsed="false">
      <c r="A152" s="18" t="s">
        <v>1101</v>
      </c>
      <c r="B152" s="27" t="s">
        <v>1102</v>
      </c>
      <c r="C152" s="18" t="s">
        <v>1103</v>
      </c>
      <c r="D152" s="18" t="s">
        <v>1104</v>
      </c>
      <c r="E152" s="18" t="s">
        <v>1105</v>
      </c>
      <c r="F152" s="18" t="s">
        <v>153</v>
      </c>
      <c r="G152" s="15" t="n">
        <v>2024</v>
      </c>
      <c r="H152" s="15" t="n">
        <v>3</v>
      </c>
      <c r="I152" s="23" t="n">
        <v>4</v>
      </c>
      <c r="J152" s="23" t="n">
        <v>2</v>
      </c>
      <c r="K152" s="23" t="n">
        <v>4</v>
      </c>
      <c r="L152" s="23" t="n">
        <v>5</v>
      </c>
      <c r="M152" s="23" t="n">
        <v>0</v>
      </c>
      <c r="N152" s="23" t="n">
        <v>0</v>
      </c>
      <c r="O152" s="23" t="n">
        <v>2</v>
      </c>
      <c r="P152" s="23" t="n">
        <v>1.5</v>
      </c>
      <c r="Q152" s="23" t="n">
        <v>2.8</v>
      </c>
      <c r="R152" s="23" t="n">
        <v>3.5</v>
      </c>
      <c r="S152" s="23" t="n">
        <v>3</v>
      </c>
      <c r="T152" s="23" t="n">
        <v>0</v>
      </c>
      <c r="U152" s="18" t="s">
        <v>126</v>
      </c>
      <c r="V152" s="18"/>
      <c r="W152" s="28" t="n">
        <f aca="false">MIN(100,MAX(0,ROUND(SUMPRODUCT(I152:S152,$I$3:$S$3)/SUM($I$3:$S$3)/5*100+T152,1)))</f>
        <v>53.8</v>
      </c>
      <c r="X152" s="15" t="str">
        <f aca="false">IF(U152="Yes","No","Yes")</f>
        <v>Yes</v>
      </c>
      <c r="Y152" s="29" t="n">
        <f aca="false">IF(X152="Yes",W152,W152-1000)-ROW()/100000</f>
        <v>53.79848</v>
      </c>
      <c r="Z152" s="15" t="n">
        <f aca="false">RANK(Y152,$Y$5:$Y$172,0)</f>
        <v>130</v>
      </c>
      <c r="AA152" s="15" t="str">
        <f aca="false">IF(X152="No","Hold – resolve flag",IF(Z152&lt;=Weights!$C$18,"Tier 1 – Flagship launch",IF(OR(Z152&lt;=Weights!$C$19,AF152="Yes"),"Tier 2 – Priority",IF(Z152&lt;=Weights!$C$20,"Tier 3 – Standard rotation","Tier 4 – Reserve"))))</f>
        <v>Tier 2 – Priority</v>
      </c>
      <c r="AB152" s="18" t="s">
        <v>1076</v>
      </c>
      <c r="AC152" s="27" t="s">
        <v>1106</v>
      </c>
      <c r="AD152" s="18" t="s">
        <v>349</v>
      </c>
      <c r="AE152" s="15" t="s">
        <v>130</v>
      </c>
      <c r="AF152" s="23" t="s">
        <v>131</v>
      </c>
      <c r="AG152" s="29" t="n">
        <f aca="false">IF(OR(Z152&lt;=Weights!$C$19,AF152="Yes"),Y152,Y152-5000)</f>
        <v>53.79848</v>
      </c>
      <c r="AH152" s="15" t="n">
        <f aca="false">IF(OR(Z152&lt;=Weights!$C$19,AF152="Yes"),RANK(AG152,$AG$5:$AG$172,0),"")</f>
        <v>58</v>
      </c>
    </row>
    <row r="153" customFormat="false" ht="35.05" hidden="false" customHeight="false" outlineLevel="0" collapsed="false">
      <c r="A153" s="18" t="s">
        <v>1107</v>
      </c>
      <c r="B153" s="27" t="s">
        <v>1108</v>
      </c>
      <c r="C153" s="18" t="s">
        <v>1109</v>
      </c>
      <c r="D153" s="18" t="s">
        <v>1110</v>
      </c>
      <c r="E153" s="18" t="s">
        <v>983</v>
      </c>
      <c r="F153" s="18" t="s">
        <v>153</v>
      </c>
      <c r="G153" s="15" t="n">
        <v>2024</v>
      </c>
      <c r="H153" s="15" t="n">
        <v>5</v>
      </c>
      <c r="I153" s="23" t="n">
        <v>5</v>
      </c>
      <c r="J153" s="23" t="n">
        <v>4</v>
      </c>
      <c r="K153" s="23" t="n">
        <v>3</v>
      </c>
      <c r="L153" s="23" t="n">
        <v>5</v>
      </c>
      <c r="M153" s="23" t="n">
        <v>0</v>
      </c>
      <c r="N153" s="23" t="n">
        <v>0</v>
      </c>
      <c r="O153" s="23" t="n">
        <v>2</v>
      </c>
      <c r="P153" s="23" t="n">
        <v>1.5</v>
      </c>
      <c r="Q153" s="23" t="n">
        <v>3.5</v>
      </c>
      <c r="R153" s="23" t="n">
        <v>3.5</v>
      </c>
      <c r="S153" s="23" t="n">
        <v>3</v>
      </c>
      <c r="T153" s="23" t="n">
        <v>0</v>
      </c>
      <c r="U153" s="18" t="s">
        <v>126</v>
      </c>
      <c r="V153" s="18"/>
      <c r="W153" s="28" t="n">
        <f aca="false">MIN(100,MAX(0,ROUND(SUMPRODUCT(I153:S153,$I$3:$S$3)/SUM($I$3:$S$3)/5*100+T153,1)))</f>
        <v>59.7</v>
      </c>
      <c r="X153" s="15" t="str">
        <f aca="false">IF(U153="Yes","No","Yes")</f>
        <v>Yes</v>
      </c>
      <c r="Y153" s="29" t="n">
        <f aca="false">IF(X153="Yes",W153,W153-1000)-ROW()/100000</f>
        <v>59.69847</v>
      </c>
      <c r="Z153" s="15" t="n">
        <f aca="false">RANK(Y153,$Y$5:$Y$172,0)</f>
        <v>83</v>
      </c>
      <c r="AA153" s="15" t="str">
        <f aca="false">IF(X153="No","Hold – resolve flag",IF(Z153&lt;=Weights!$C$18,"Tier 1 – Flagship launch",IF(OR(Z153&lt;=Weights!$C$19,AF153="Yes"),"Tier 2 – Priority",IF(Z153&lt;=Weights!$C$20,"Tier 3 – Standard rotation","Tier 4 – Reserve"))))</f>
        <v>Tier 2 – Priority</v>
      </c>
      <c r="AB153" s="18" t="s">
        <v>1111</v>
      </c>
      <c r="AC153" s="27" t="s">
        <v>1112</v>
      </c>
      <c r="AD153" s="18" t="s">
        <v>129</v>
      </c>
      <c r="AE153" s="15" t="s">
        <v>130</v>
      </c>
      <c r="AF153" s="23" t="s">
        <v>131</v>
      </c>
      <c r="AG153" s="29" t="n">
        <f aca="false">IF(OR(Z153&lt;=Weights!$C$19,AF153="Yes"),Y153,Y153-5000)</f>
        <v>59.69847</v>
      </c>
      <c r="AH153" s="15" t="n">
        <f aca="false">IF(OR(Z153&lt;=Weights!$C$19,AF153="Yes"),RANK(AG153,$AG$5:$AG$172,0),"")</f>
        <v>48</v>
      </c>
    </row>
    <row r="154" customFormat="false" ht="35.05" hidden="false" customHeight="false" outlineLevel="0" collapsed="false">
      <c r="A154" s="18" t="s">
        <v>1113</v>
      </c>
      <c r="B154" s="27" t="s">
        <v>1114</v>
      </c>
      <c r="C154" s="18" t="s">
        <v>1115</v>
      </c>
      <c r="D154" s="18" t="s">
        <v>1116</v>
      </c>
      <c r="E154" s="18" t="s">
        <v>421</v>
      </c>
      <c r="F154" s="18" t="s">
        <v>829</v>
      </c>
      <c r="G154" s="15" t="n">
        <v>2026</v>
      </c>
      <c r="H154" s="15" t="n">
        <v>4</v>
      </c>
      <c r="I154" s="23" t="n">
        <v>5</v>
      </c>
      <c r="J154" s="23" t="n">
        <v>2</v>
      </c>
      <c r="K154" s="23" t="n">
        <v>4</v>
      </c>
      <c r="L154" s="23" t="n">
        <v>5</v>
      </c>
      <c r="M154" s="23" t="n">
        <v>0</v>
      </c>
      <c r="N154" s="23" t="n">
        <v>0</v>
      </c>
      <c r="O154" s="23" t="n">
        <v>2</v>
      </c>
      <c r="P154" s="23" t="n">
        <v>1.5</v>
      </c>
      <c r="Q154" s="23" t="n">
        <v>3.5</v>
      </c>
      <c r="R154" s="23" t="n">
        <v>3.5</v>
      </c>
      <c r="S154" s="23" t="n">
        <v>5</v>
      </c>
      <c r="T154" s="23" t="n">
        <v>0</v>
      </c>
      <c r="U154" s="18" t="s">
        <v>126</v>
      </c>
      <c r="V154" s="18"/>
      <c r="W154" s="28" t="n">
        <f aca="false">MIN(100,MAX(0,ROUND(SUMPRODUCT(I154:S154,$I$3:$S$3)/SUM($I$3:$S$3)/5*100+T154,1)))</f>
        <v>59.7</v>
      </c>
      <c r="X154" s="15" t="str">
        <f aca="false">IF(U154="Yes","No","Yes")</f>
        <v>Yes</v>
      </c>
      <c r="Y154" s="29" t="n">
        <f aca="false">IF(X154="Yes",W154,W154-1000)-ROW()/100000</f>
        <v>59.69846</v>
      </c>
      <c r="Z154" s="15" t="n">
        <f aca="false">RANK(Y154,$Y$5:$Y$172,0)</f>
        <v>84</v>
      </c>
      <c r="AA154" s="15" t="str">
        <f aca="false">IF(X154="No","Hold – resolve flag",IF(Z154&lt;=Weights!$C$18,"Tier 1 – Flagship launch",IF(OR(Z154&lt;=Weights!$C$19,AF154="Yes"),"Tier 2 – Priority",IF(Z154&lt;=Weights!$C$20,"Tier 3 – Standard rotation","Tier 4 – Reserve"))))</f>
        <v>Tier 4 – Reserve</v>
      </c>
      <c r="AB154" s="18" t="s">
        <v>1117</v>
      </c>
      <c r="AC154" s="27" t="s">
        <v>1118</v>
      </c>
      <c r="AD154" s="18" t="s">
        <v>129</v>
      </c>
      <c r="AE154" s="15" t="s">
        <v>130</v>
      </c>
      <c r="AF154" s="23" t="s">
        <v>126</v>
      </c>
      <c r="AG154" s="29" t="n">
        <f aca="false">IF(OR(Z154&lt;=Weights!$C$19,AF154="Yes"),Y154,Y154-5000)</f>
        <v>-4940.30154</v>
      </c>
      <c r="AH154" s="15" t="str">
        <f aca="false">IF(OR(Z154&lt;=Weights!$C$19,AF154="Yes"),RANK(AG154,$AG$5:$AG$172,0),"")</f>
        <v/>
      </c>
    </row>
    <row r="155" customFormat="false" ht="35.05" hidden="false" customHeight="false" outlineLevel="0" collapsed="false">
      <c r="A155" s="18" t="s">
        <v>1119</v>
      </c>
      <c r="B155" s="27" t="s">
        <v>1120</v>
      </c>
      <c r="C155" s="18" t="s">
        <v>1121</v>
      </c>
      <c r="D155" s="18" t="s">
        <v>835</v>
      </c>
      <c r="E155" s="18" t="s">
        <v>1122</v>
      </c>
      <c r="F155" s="18" t="s">
        <v>153</v>
      </c>
      <c r="G155" s="15" t="n">
        <v>2024</v>
      </c>
      <c r="H155" s="15" t="n">
        <v>11</v>
      </c>
      <c r="I155" s="23" t="n">
        <v>4</v>
      </c>
      <c r="J155" s="23" t="n">
        <v>5</v>
      </c>
      <c r="K155" s="23" t="n">
        <v>1</v>
      </c>
      <c r="L155" s="23" t="n">
        <v>5</v>
      </c>
      <c r="M155" s="23" t="n">
        <v>0</v>
      </c>
      <c r="N155" s="23" t="n">
        <v>0</v>
      </c>
      <c r="O155" s="23" t="n">
        <v>2</v>
      </c>
      <c r="P155" s="23" t="n">
        <v>1.5</v>
      </c>
      <c r="Q155" s="23" t="n">
        <v>3.9</v>
      </c>
      <c r="R155" s="23" t="n">
        <v>3.5</v>
      </c>
      <c r="S155" s="23" t="n">
        <v>3</v>
      </c>
      <c r="T155" s="23" t="n">
        <v>0</v>
      </c>
      <c r="U155" s="18" t="s">
        <v>126</v>
      </c>
      <c r="V155" s="18"/>
      <c r="W155" s="28" t="n">
        <f aca="false">MIN(100,MAX(0,ROUND(SUMPRODUCT(I155:S155,$I$3:$S$3)/SUM($I$3:$S$3)/5*100+T155,1)))</f>
        <v>57.9</v>
      </c>
      <c r="X155" s="15" t="str">
        <f aca="false">IF(U155="Yes","No","Yes")</f>
        <v>Yes</v>
      </c>
      <c r="Y155" s="29" t="n">
        <f aca="false">IF(X155="Yes",W155,W155-1000)-ROW()/100000</f>
        <v>57.89845</v>
      </c>
      <c r="Z155" s="15" t="n">
        <f aca="false">RANK(Y155,$Y$5:$Y$172,0)</f>
        <v>100</v>
      </c>
      <c r="AA155" s="15" t="str">
        <f aca="false">IF(X155="No","Hold – resolve flag",IF(Z155&lt;=Weights!$C$18,"Tier 1 – Flagship launch",IF(OR(Z155&lt;=Weights!$C$19,AF155="Yes"),"Tier 2 – Priority",IF(Z155&lt;=Weights!$C$20,"Tier 3 – Standard rotation","Tier 4 – Reserve"))))</f>
        <v>Tier 4 – Reserve</v>
      </c>
      <c r="AB155" s="18" t="s">
        <v>1123</v>
      </c>
      <c r="AC155" s="27" t="s">
        <v>1124</v>
      </c>
      <c r="AD155" s="18" t="s">
        <v>129</v>
      </c>
      <c r="AE155" s="15" t="s">
        <v>130</v>
      </c>
      <c r="AF155" s="23" t="s">
        <v>126</v>
      </c>
      <c r="AG155" s="29" t="n">
        <f aca="false">IF(OR(Z155&lt;=Weights!$C$19,AF155="Yes"),Y155,Y155-5000)</f>
        <v>-4942.10155</v>
      </c>
      <c r="AH155" s="15" t="str">
        <f aca="false">IF(OR(Z155&lt;=Weights!$C$19,AF155="Yes"),RANK(AG155,$AG$5:$AG$172,0),"")</f>
        <v/>
      </c>
    </row>
    <row r="156" customFormat="false" ht="35.05" hidden="false" customHeight="false" outlineLevel="0" collapsed="false">
      <c r="A156" s="18" t="s">
        <v>1125</v>
      </c>
      <c r="B156" s="27" t="s">
        <v>1126</v>
      </c>
      <c r="C156" s="18" t="s">
        <v>1127</v>
      </c>
      <c r="D156" s="18" t="s">
        <v>732</v>
      </c>
      <c r="E156" s="18" t="s">
        <v>1128</v>
      </c>
      <c r="F156" s="18" t="s">
        <v>213</v>
      </c>
      <c r="G156" s="15" t="n">
        <v>2024</v>
      </c>
      <c r="H156" s="15" t="n">
        <v>2</v>
      </c>
      <c r="I156" s="23" t="n">
        <v>5</v>
      </c>
      <c r="J156" s="23" t="n">
        <v>0</v>
      </c>
      <c r="K156" s="23" t="n">
        <v>5</v>
      </c>
      <c r="L156" s="23" t="n">
        <v>5</v>
      </c>
      <c r="M156" s="23" t="n">
        <v>0</v>
      </c>
      <c r="N156" s="23" t="n">
        <v>0</v>
      </c>
      <c r="O156" s="23" t="n">
        <v>2</v>
      </c>
      <c r="P156" s="23" t="n">
        <v>1.5</v>
      </c>
      <c r="Q156" s="23" t="n">
        <v>2.8</v>
      </c>
      <c r="R156" s="23" t="n">
        <v>3.5</v>
      </c>
      <c r="S156" s="23" t="n">
        <v>5</v>
      </c>
      <c r="T156" s="23" t="n">
        <v>0</v>
      </c>
      <c r="U156" s="18" t="s">
        <v>131</v>
      </c>
      <c r="V156" s="18" t="s">
        <v>162</v>
      </c>
      <c r="W156" s="28" t="n">
        <f aca="false">MIN(100,MAX(0,ROUND(SUMPRODUCT(I156:S156,$I$3:$S$3)/SUM($I$3:$S$3)/5*100+T156,1)))</f>
        <v>55.4</v>
      </c>
      <c r="X156" s="15" t="str">
        <f aca="false">IF(U156="Yes","No","Yes")</f>
        <v>No</v>
      </c>
      <c r="Y156" s="29" t="n">
        <f aca="false">IF(X156="Yes",W156,W156-1000)-ROW()/100000</f>
        <v>-944.60156</v>
      </c>
      <c r="Z156" s="15" t="n">
        <f aca="false">RANK(Y156,$Y$5:$Y$172,0)</f>
        <v>157</v>
      </c>
      <c r="AA156" s="15" t="str">
        <f aca="false">IF(X156="No","Hold – resolve flag",IF(Z156&lt;=Weights!$C$18,"Tier 1 – Flagship launch",IF(OR(Z156&lt;=Weights!$C$19,AF156="Yes"),"Tier 2 – Priority",IF(Z156&lt;=Weights!$C$20,"Tier 3 – Standard rotation","Tier 4 – Reserve"))))</f>
        <v>Hold – resolve flag</v>
      </c>
      <c r="AB156" s="18" t="s">
        <v>1129</v>
      </c>
      <c r="AC156" s="27" t="s">
        <v>1130</v>
      </c>
      <c r="AD156" s="18" t="s">
        <v>129</v>
      </c>
      <c r="AE156" s="15" t="s">
        <v>130</v>
      </c>
      <c r="AF156" s="23" t="s">
        <v>126</v>
      </c>
      <c r="AG156" s="29" t="n">
        <f aca="false">IF(OR(Z156&lt;=Weights!$C$19,AF156="Yes"),Y156,Y156-5000)</f>
        <v>-5944.60156</v>
      </c>
      <c r="AH156" s="15" t="str">
        <f aca="false">IF(OR(Z156&lt;=Weights!$C$19,AF156="Yes"),RANK(AG156,$AG$5:$AG$172,0),"")</f>
        <v/>
      </c>
    </row>
    <row r="157" customFormat="false" ht="35.05" hidden="false" customHeight="false" outlineLevel="0" collapsed="false">
      <c r="A157" s="18" t="s">
        <v>1131</v>
      </c>
      <c r="B157" s="27" t="s">
        <v>1132</v>
      </c>
      <c r="C157" s="18" t="s">
        <v>1133</v>
      </c>
      <c r="D157" s="18" t="s">
        <v>1110</v>
      </c>
      <c r="E157" s="18" t="s">
        <v>1134</v>
      </c>
      <c r="F157" s="18" t="s">
        <v>153</v>
      </c>
      <c r="G157" s="15" t="n">
        <v>2024</v>
      </c>
      <c r="H157" s="15" t="n">
        <v>2</v>
      </c>
      <c r="I157" s="23" t="n">
        <v>5</v>
      </c>
      <c r="J157" s="23" t="n">
        <v>4</v>
      </c>
      <c r="K157" s="23" t="n">
        <v>5</v>
      </c>
      <c r="L157" s="23" t="n">
        <v>5</v>
      </c>
      <c r="M157" s="23" t="n">
        <v>0</v>
      </c>
      <c r="N157" s="23" t="n">
        <v>0</v>
      </c>
      <c r="O157" s="23" t="n">
        <v>2</v>
      </c>
      <c r="P157" s="23" t="n">
        <v>1.5</v>
      </c>
      <c r="Q157" s="23" t="n">
        <v>3.5</v>
      </c>
      <c r="R157" s="23" t="n">
        <v>3.5</v>
      </c>
      <c r="S157" s="23" t="n">
        <v>3</v>
      </c>
      <c r="T157" s="23" t="n">
        <v>0</v>
      </c>
      <c r="U157" s="18" t="s">
        <v>126</v>
      </c>
      <c r="V157" s="18"/>
      <c r="W157" s="28" t="n">
        <f aca="false">MIN(100,MAX(0,ROUND(SUMPRODUCT(I157:S157,$I$3:$S$3)/SUM($I$3:$S$3)/5*100+T157,1)))</f>
        <v>62.9</v>
      </c>
      <c r="X157" s="15" t="str">
        <f aca="false">IF(U157="Yes","No","Yes")</f>
        <v>Yes</v>
      </c>
      <c r="Y157" s="29" t="n">
        <f aca="false">IF(X157="Yes",W157,W157-1000)-ROW()/100000</f>
        <v>62.89843</v>
      </c>
      <c r="Z157" s="15" t="n">
        <f aca="false">RANK(Y157,$Y$5:$Y$172,0)</f>
        <v>60</v>
      </c>
      <c r="AA157" s="15" t="str">
        <f aca="false">IF(X157="No","Hold – resolve flag",IF(Z157&lt;=Weights!$C$18,"Tier 1 – Flagship launch",IF(OR(Z157&lt;=Weights!$C$19,AF157="Yes"),"Tier 2 – Priority",IF(Z157&lt;=Weights!$C$20,"Tier 3 – Standard rotation","Tier 4 – Reserve"))))</f>
        <v>Tier 2 – Priority</v>
      </c>
      <c r="AB157" s="18" t="s">
        <v>1135</v>
      </c>
      <c r="AC157" s="27" t="s">
        <v>1136</v>
      </c>
      <c r="AD157" s="18" t="s">
        <v>129</v>
      </c>
      <c r="AE157" s="15" t="s">
        <v>130</v>
      </c>
      <c r="AF157" s="23" t="s">
        <v>131</v>
      </c>
      <c r="AG157" s="29" t="n">
        <f aca="false">IF(OR(Z157&lt;=Weights!$C$19,AF157="Yes"),Y157,Y157-5000)</f>
        <v>62.89843</v>
      </c>
      <c r="AH157" s="15" t="n">
        <f aca="false">IF(OR(Z157&lt;=Weights!$C$19,AF157="Yes"),RANK(AG157,$AG$5:$AG$172,0),"")</f>
        <v>41</v>
      </c>
    </row>
    <row r="158" customFormat="false" ht="35.05" hidden="false" customHeight="false" outlineLevel="0" collapsed="false">
      <c r="A158" s="18" t="s">
        <v>1137</v>
      </c>
      <c r="B158" s="27" t="s">
        <v>1138</v>
      </c>
      <c r="C158" s="18" t="s">
        <v>1139</v>
      </c>
      <c r="D158" s="18" t="s">
        <v>523</v>
      </c>
      <c r="E158" s="18" t="s">
        <v>1140</v>
      </c>
      <c r="F158" s="18" t="s">
        <v>263</v>
      </c>
      <c r="G158" s="15" t="n">
        <v>2023</v>
      </c>
      <c r="H158" s="15" t="n">
        <v>7</v>
      </c>
      <c r="I158" s="23" t="n">
        <v>4</v>
      </c>
      <c r="J158" s="23" t="n">
        <v>4</v>
      </c>
      <c r="K158" s="23" t="n">
        <v>3</v>
      </c>
      <c r="L158" s="23" t="n">
        <v>5</v>
      </c>
      <c r="M158" s="23" t="n">
        <v>0</v>
      </c>
      <c r="N158" s="23" t="n">
        <v>0</v>
      </c>
      <c r="O158" s="23" t="n">
        <v>2</v>
      </c>
      <c r="P158" s="23" t="n">
        <v>1.5</v>
      </c>
      <c r="Q158" s="23" t="n">
        <v>3.5</v>
      </c>
      <c r="R158" s="23" t="n">
        <v>3.5</v>
      </c>
      <c r="S158" s="23" t="n">
        <v>3</v>
      </c>
      <c r="T158" s="23" t="n">
        <v>0</v>
      </c>
      <c r="U158" s="18" t="s">
        <v>126</v>
      </c>
      <c r="V158" s="18"/>
      <c r="W158" s="28" t="n">
        <f aca="false">MIN(100,MAX(0,ROUND(SUMPRODUCT(I158:S158,$I$3:$S$3)/SUM($I$3:$S$3)/5*100+T158,1)))</f>
        <v>58.1</v>
      </c>
      <c r="X158" s="15" t="str">
        <f aca="false">IF(U158="Yes","No","Yes")</f>
        <v>Yes</v>
      </c>
      <c r="Y158" s="29" t="n">
        <f aca="false">IF(X158="Yes",W158,W158-1000)-ROW()/100000</f>
        <v>58.09842</v>
      </c>
      <c r="Z158" s="15" t="n">
        <f aca="false">RANK(Y158,$Y$5:$Y$172,0)</f>
        <v>98</v>
      </c>
      <c r="AA158" s="15" t="str">
        <f aca="false">IF(X158="No","Hold – resolve flag",IF(Z158&lt;=Weights!$C$18,"Tier 1 – Flagship launch",IF(OR(Z158&lt;=Weights!$C$19,AF158="Yes"),"Tier 2 – Priority",IF(Z158&lt;=Weights!$C$20,"Tier 3 – Standard rotation","Tier 4 – Reserve"))))</f>
        <v>Tier 4 – Reserve</v>
      </c>
      <c r="AB158" s="18" t="s">
        <v>1141</v>
      </c>
      <c r="AC158" s="27" t="s">
        <v>1142</v>
      </c>
      <c r="AD158" s="18" t="s">
        <v>129</v>
      </c>
      <c r="AE158" s="15" t="s">
        <v>130</v>
      </c>
      <c r="AF158" s="23" t="s">
        <v>126</v>
      </c>
      <c r="AG158" s="29" t="n">
        <f aca="false">IF(OR(Z158&lt;=Weights!$C$19,AF158="Yes"),Y158,Y158-5000)</f>
        <v>-4941.90158</v>
      </c>
      <c r="AH158" s="15" t="str">
        <f aca="false">IF(OR(Z158&lt;=Weights!$C$19,AF158="Yes"),RANK(AG158,$AG$5:$AG$172,0),"")</f>
        <v/>
      </c>
    </row>
    <row r="159" customFormat="false" ht="35.05" hidden="false" customHeight="false" outlineLevel="0" collapsed="false">
      <c r="A159" s="18" t="s">
        <v>1143</v>
      </c>
      <c r="B159" s="27" t="s">
        <v>1144</v>
      </c>
      <c r="C159" s="18" t="s">
        <v>1145</v>
      </c>
      <c r="D159" s="18" t="s">
        <v>763</v>
      </c>
      <c r="E159" s="18" t="s">
        <v>236</v>
      </c>
      <c r="F159" s="18" t="s">
        <v>146</v>
      </c>
      <c r="G159" s="15" t="n">
        <v>2024</v>
      </c>
      <c r="H159" s="15" t="n">
        <v>6</v>
      </c>
      <c r="I159" s="23" t="n">
        <v>4</v>
      </c>
      <c r="J159" s="23" t="n">
        <v>2</v>
      </c>
      <c r="K159" s="23" t="n">
        <v>3</v>
      </c>
      <c r="L159" s="23" t="n">
        <v>5</v>
      </c>
      <c r="M159" s="23" t="n">
        <v>0</v>
      </c>
      <c r="N159" s="23" t="n">
        <v>0</v>
      </c>
      <c r="O159" s="23" t="n">
        <v>2</v>
      </c>
      <c r="P159" s="23" t="n">
        <v>1.5</v>
      </c>
      <c r="Q159" s="23" t="n">
        <v>3.9</v>
      </c>
      <c r="R159" s="23" t="n">
        <v>3.5</v>
      </c>
      <c r="S159" s="23" t="n">
        <v>4</v>
      </c>
      <c r="T159" s="23" t="n">
        <v>0</v>
      </c>
      <c r="U159" s="18" t="s">
        <v>126</v>
      </c>
      <c r="V159" s="18"/>
      <c r="W159" s="28" t="n">
        <f aca="false">MIN(100,MAX(0,ROUND(SUMPRODUCT(I159:S159,$I$3:$S$3)/SUM($I$3:$S$3)/5*100+T159,1)))</f>
        <v>55.5</v>
      </c>
      <c r="X159" s="15" t="str">
        <f aca="false">IF(U159="Yes","No","Yes")</f>
        <v>Yes</v>
      </c>
      <c r="Y159" s="29" t="n">
        <f aca="false">IF(X159="Yes",W159,W159-1000)-ROW()/100000</f>
        <v>55.49841</v>
      </c>
      <c r="Z159" s="15" t="n">
        <f aca="false">RANK(Y159,$Y$5:$Y$172,0)</f>
        <v>118</v>
      </c>
      <c r="AA159" s="15" t="str">
        <f aca="false">IF(X159="No","Hold – resolve flag",IF(Z159&lt;=Weights!$C$18,"Tier 1 – Flagship launch",IF(OR(Z159&lt;=Weights!$C$19,AF159="Yes"),"Tier 2 – Priority",IF(Z159&lt;=Weights!$C$20,"Tier 3 – Standard rotation","Tier 4 – Reserve"))))</f>
        <v>Tier 4 – Reserve</v>
      </c>
      <c r="AB159" s="18" t="s">
        <v>1146</v>
      </c>
      <c r="AC159" s="27" t="s">
        <v>1147</v>
      </c>
      <c r="AD159" s="18" t="s">
        <v>129</v>
      </c>
      <c r="AE159" s="15" t="s">
        <v>130</v>
      </c>
      <c r="AF159" s="23" t="s">
        <v>126</v>
      </c>
      <c r="AG159" s="29" t="n">
        <f aca="false">IF(OR(Z159&lt;=Weights!$C$19,AF159="Yes"),Y159,Y159-5000)</f>
        <v>-4944.50159</v>
      </c>
      <c r="AH159" s="15" t="str">
        <f aca="false">IF(OR(Z159&lt;=Weights!$C$19,AF159="Yes"),RANK(AG159,$AG$5:$AG$172,0),"")</f>
        <v/>
      </c>
    </row>
    <row r="160" customFormat="false" ht="35.05" hidden="false" customHeight="false" outlineLevel="0" collapsed="false">
      <c r="A160" s="18" t="s">
        <v>1148</v>
      </c>
      <c r="B160" s="27" t="s">
        <v>1149</v>
      </c>
      <c r="C160" s="18" t="s">
        <v>1150</v>
      </c>
      <c r="D160" s="18" t="s">
        <v>1151</v>
      </c>
      <c r="E160" s="18" t="s">
        <v>1152</v>
      </c>
      <c r="F160" s="18" t="s">
        <v>153</v>
      </c>
      <c r="G160" s="15" t="n">
        <v>2021</v>
      </c>
      <c r="H160" s="15" t="n">
        <v>12</v>
      </c>
      <c r="I160" s="23" t="n">
        <v>5</v>
      </c>
      <c r="J160" s="23" t="n">
        <v>2</v>
      </c>
      <c r="K160" s="23" t="n">
        <v>1</v>
      </c>
      <c r="L160" s="23" t="n">
        <v>5</v>
      </c>
      <c r="M160" s="23" t="n">
        <v>0</v>
      </c>
      <c r="N160" s="23" t="n">
        <v>0</v>
      </c>
      <c r="O160" s="23" t="n">
        <v>2</v>
      </c>
      <c r="P160" s="23" t="n">
        <v>1.5</v>
      </c>
      <c r="Q160" s="23" t="n">
        <v>3.9</v>
      </c>
      <c r="R160" s="23" t="n">
        <v>3.5</v>
      </c>
      <c r="S160" s="23" t="n">
        <v>2</v>
      </c>
      <c r="T160" s="23" t="n">
        <v>0</v>
      </c>
      <c r="U160" s="18" t="s">
        <v>126</v>
      </c>
      <c r="V160" s="18"/>
      <c r="W160" s="28" t="n">
        <f aca="false">MIN(100,MAX(0,ROUND(SUMPRODUCT(I160:S160,$I$3:$S$3)/SUM($I$3:$S$3)/5*100+T160,1)))</f>
        <v>50.7</v>
      </c>
      <c r="X160" s="15" t="str">
        <f aca="false">IF(U160="Yes","No","Yes")</f>
        <v>Yes</v>
      </c>
      <c r="Y160" s="29" t="n">
        <f aca="false">IF(X160="Yes",W160,W160-1000)-ROW()/100000</f>
        <v>50.6984</v>
      </c>
      <c r="Z160" s="15" t="n">
        <f aca="false">RANK(Y160,$Y$5:$Y$172,0)</f>
        <v>142</v>
      </c>
      <c r="AA160" s="15" t="str">
        <f aca="false">IF(X160="No","Hold – resolve flag",IF(Z160&lt;=Weights!$C$18,"Tier 1 – Flagship launch",IF(OR(Z160&lt;=Weights!$C$19,AF160="Yes"),"Tier 2 – Priority",IF(Z160&lt;=Weights!$C$20,"Tier 3 – Standard rotation","Tier 4 – Reserve"))))</f>
        <v>Tier 4 – Reserve</v>
      </c>
      <c r="AB160" s="18" t="s">
        <v>1153</v>
      </c>
      <c r="AC160" s="27" t="s">
        <v>1154</v>
      </c>
      <c r="AD160" s="18" t="s">
        <v>129</v>
      </c>
      <c r="AE160" s="15" t="s">
        <v>130</v>
      </c>
      <c r="AF160" s="23" t="s">
        <v>126</v>
      </c>
      <c r="AG160" s="29" t="n">
        <f aca="false">IF(OR(Z160&lt;=Weights!$C$19,AF160="Yes"),Y160,Y160-5000)</f>
        <v>-4949.3016</v>
      </c>
      <c r="AH160" s="15" t="str">
        <f aca="false">IF(OR(Z160&lt;=Weights!$C$19,AF160="Yes"),RANK(AG160,$AG$5:$AG$172,0),"")</f>
        <v/>
      </c>
    </row>
    <row r="161" customFormat="false" ht="35.05" hidden="false" customHeight="false" outlineLevel="0" collapsed="false">
      <c r="A161" s="18" t="s">
        <v>1155</v>
      </c>
      <c r="B161" s="27" t="s">
        <v>1156</v>
      </c>
      <c r="C161" s="18" t="s">
        <v>1157</v>
      </c>
      <c r="D161" s="18" t="s">
        <v>144</v>
      </c>
      <c r="E161" s="18" t="s">
        <v>1158</v>
      </c>
      <c r="F161" s="18" t="s">
        <v>383</v>
      </c>
      <c r="G161" s="15" t="n">
        <v>2025</v>
      </c>
      <c r="H161" s="15" t="n">
        <v>4</v>
      </c>
      <c r="I161" s="23" t="n">
        <v>4</v>
      </c>
      <c r="J161" s="23" t="n">
        <v>3</v>
      </c>
      <c r="K161" s="23" t="n">
        <v>4</v>
      </c>
      <c r="L161" s="23" t="n">
        <v>4</v>
      </c>
      <c r="M161" s="23" t="n">
        <v>0</v>
      </c>
      <c r="N161" s="23" t="n">
        <v>0</v>
      </c>
      <c r="O161" s="23" t="n">
        <v>2</v>
      </c>
      <c r="P161" s="23" t="n">
        <v>1.5</v>
      </c>
      <c r="Q161" s="23" t="n">
        <v>3.5</v>
      </c>
      <c r="R161" s="23" t="n">
        <v>3.5</v>
      </c>
      <c r="S161" s="23" t="n">
        <v>3</v>
      </c>
      <c r="T161" s="23" t="n">
        <v>0</v>
      </c>
      <c r="U161" s="18" t="s">
        <v>126</v>
      </c>
      <c r="V161" s="18"/>
      <c r="W161" s="28" t="n">
        <f aca="false">MIN(100,MAX(0,ROUND(SUMPRODUCT(I161:S161,$I$3:$S$3)/SUM($I$3:$S$3)/5*100+T161,1)))</f>
        <v>55.3</v>
      </c>
      <c r="X161" s="15" t="str">
        <f aca="false">IF(U161="Yes","No","Yes")</f>
        <v>Yes</v>
      </c>
      <c r="Y161" s="29" t="n">
        <f aca="false">IF(X161="Yes",W161,W161-1000)-ROW()/100000</f>
        <v>55.29839</v>
      </c>
      <c r="Z161" s="15" t="n">
        <f aca="false">RANK(Y161,$Y$5:$Y$172,0)</f>
        <v>121</v>
      </c>
      <c r="AA161" s="15" t="str">
        <f aca="false">IF(X161="No","Hold – resolve flag",IF(Z161&lt;=Weights!$C$18,"Tier 1 – Flagship launch",IF(OR(Z161&lt;=Weights!$C$19,AF161="Yes"),"Tier 2 – Priority",IF(Z161&lt;=Weights!$C$20,"Tier 3 – Standard rotation","Tier 4 – Reserve"))))</f>
        <v>Tier 4 – Reserve</v>
      </c>
      <c r="AB161" s="18" t="s">
        <v>1159</v>
      </c>
      <c r="AC161" s="27" t="s">
        <v>1160</v>
      </c>
      <c r="AD161" s="18" t="s">
        <v>129</v>
      </c>
      <c r="AE161" s="15" t="s">
        <v>130</v>
      </c>
      <c r="AF161" s="23" t="s">
        <v>126</v>
      </c>
      <c r="AG161" s="29" t="n">
        <f aca="false">IF(OR(Z161&lt;=Weights!$C$19,AF161="Yes"),Y161,Y161-5000)</f>
        <v>-4944.70161</v>
      </c>
      <c r="AH161" s="15" t="str">
        <f aca="false">IF(OR(Z161&lt;=Weights!$C$19,AF161="Yes"),RANK(AG161,$AG$5:$AG$172,0),"")</f>
        <v/>
      </c>
    </row>
    <row r="162" customFormat="false" ht="35.05" hidden="false" customHeight="false" outlineLevel="0" collapsed="false">
      <c r="A162" s="18" t="s">
        <v>1161</v>
      </c>
      <c r="B162" s="27" t="s">
        <v>1162</v>
      </c>
      <c r="C162" s="18" t="s">
        <v>1163</v>
      </c>
      <c r="D162" s="18" t="s">
        <v>1164</v>
      </c>
      <c r="E162" s="18" t="s">
        <v>1165</v>
      </c>
      <c r="F162" s="18" t="s">
        <v>213</v>
      </c>
      <c r="G162" s="15" t="n">
        <v>2024</v>
      </c>
      <c r="H162" s="15" t="n">
        <v>7</v>
      </c>
      <c r="I162" s="23" t="n">
        <v>5</v>
      </c>
      <c r="J162" s="23" t="n">
        <v>4</v>
      </c>
      <c r="K162" s="23" t="n">
        <v>3</v>
      </c>
      <c r="L162" s="23" t="n">
        <v>5</v>
      </c>
      <c r="M162" s="23" t="n">
        <v>3</v>
      </c>
      <c r="N162" s="23" t="n">
        <v>0</v>
      </c>
      <c r="O162" s="23" t="n">
        <v>3</v>
      </c>
      <c r="P162" s="23" t="n">
        <v>1.5</v>
      </c>
      <c r="Q162" s="23" t="n">
        <v>2.9</v>
      </c>
      <c r="R162" s="23" t="n">
        <v>3.5</v>
      </c>
      <c r="S162" s="23" t="n">
        <v>5</v>
      </c>
      <c r="T162" s="23" t="n">
        <v>0</v>
      </c>
      <c r="U162" s="18" t="s">
        <v>126</v>
      </c>
      <c r="V162" s="18"/>
      <c r="W162" s="28" t="n">
        <f aca="false">MIN(100,MAX(0,ROUND(SUMPRODUCT(I162:S162,$I$3:$S$3)/SUM($I$3:$S$3)/5*100+T162,1)))</f>
        <v>68.1</v>
      </c>
      <c r="X162" s="15" t="str">
        <f aca="false">IF(U162="Yes","No","Yes")</f>
        <v>Yes</v>
      </c>
      <c r="Y162" s="29" t="n">
        <f aca="false">IF(X162="Yes",W162,W162-1000)-ROW()/100000</f>
        <v>68.09838</v>
      </c>
      <c r="Z162" s="15" t="n">
        <f aca="false">RANK(Y162,$Y$5:$Y$172,0)</f>
        <v>27</v>
      </c>
      <c r="AA162" s="15" t="str">
        <f aca="false">IF(X162="No","Hold – resolve flag",IF(Z162&lt;=Weights!$C$18,"Tier 1 – Flagship launch",IF(OR(Z162&lt;=Weights!$C$19,AF162="Yes"),"Tier 2 – Priority",IF(Z162&lt;=Weights!$C$20,"Tier 3 – Standard rotation","Tier 4 – Reserve"))))</f>
        <v>Tier 2 – Priority</v>
      </c>
      <c r="AB162" s="18" t="s">
        <v>1166</v>
      </c>
      <c r="AC162" s="27" t="s">
        <v>1167</v>
      </c>
      <c r="AD162" s="18" t="s">
        <v>1168</v>
      </c>
      <c r="AE162" s="15" t="s">
        <v>130</v>
      </c>
      <c r="AF162" s="23" t="s">
        <v>126</v>
      </c>
      <c r="AG162" s="29" t="n">
        <f aca="false">IF(OR(Z162&lt;=Weights!$C$19,AF162="Yes"),Y162,Y162-5000)</f>
        <v>68.09838</v>
      </c>
      <c r="AH162" s="15" t="n">
        <f aca="false">IF(OR(Z162&lt;=Weights!$C$19,AF162="Yes"),RANK(AG162,$AG$5:$AG$172,0),"")</f>
        <v>27</v>
      </c>
    </row>
    <row r="163" customFormat="false" ht="35.05" hidden="false" customHeight="false" outlineLevel="0" collapsed="false">
      <c r="A163" s="18" t="s">
        <v>1169</v>
      </c>
      <c r="B163" s="27" t="s">
        <v>1170</v>
      </c>
      <c r="C163" s="18" t="s">
        <v>1171</v>
      </c>
      <c r="D163" s="18" t="s">
        <v>769</v>
      </c>
      <c r="E163" s="18" t="s">
        <v>290</v>
      </c>
      <c r="F163" s="18" t="s">
        <v>153</v>
      </c>
      <c r="G163" s="15" t="n">
        <v>2024</v>
      </c>
      <c r="H163" s="15" t="n">
        <v>7</v>
      </c>
      <c r="I163" s="23" t="n">
        <v>5</v>
      </c>
      <c r="J163" s="23" t="n">
        <v>4</v>
      </c>
      <c r="K163" s="23" t="n">
        <v>3</v>
      </c>
      <c r="L163" s="23" t="n">
        <v>5</v>
      </c>
      <c r="M163" s="23" t="n">
        <v>0</v>
      </c>
      <c r="N163" s="23" t="n">
        <v>0</v>
      </c>
      <c r="O163" s="23" t="n">
        <v>2</v>
      </c>
      <c r="P163" s="23" t="n">
        <v>1.5</v>
      </c>
      <c r="Q163" s="23" t="n">
        <v>3.5</v>
      </c>
      <c r="R163" s="23" t="n">
        <v>3.5</v>
      </c>
      <c r="S163" s="23" t="n">
        <v>3</v>
      </c>
      <c r="T163" s="23" t="n">
        <v>0</v>
      </c>
      <c r="U163" s="18" t="s">
        <v>126</v>
      </c>
      <c r="V163" s="18"/>
      <c r="W163" s="28" t="n">
        <f aca="false">MIN(100,MAX(0,ROUND(SUMPRODUCT(I163:S163,$I$3:$S$3)/SUM($I$3:$S$3)/5*100+T163,1)))</f>
        <v>59.7</v>
      </c>
      <c r="X163" s="15" t="str">
        <f aca="false">IF(U163="Yes","No","Yes")</f>
        <v>Yes</v>
      </c>
      <c r="Y163" s="29" t="n">
        <f aca="false">IF(X163="Yes",W163,W163-1000)-ROW()/100000</f>
        <v>59.69837</v>
      </c>
      <c r="Z163" s="15" t="n">
        <f aca="false">RANK(Y163,$Y$5:$Y$172,0)</f>
        <v>85</v>
      </c>
      <c r="AA163" s="15" t="str">
        <f aca="false">IF(X163="No","Hold – resolve flag",IF(Z163&lt;=Weights!$C$18,"Tier 1 – Flagship launch",IF(OR(Z163&lt;=Weights!$C$19,AF163="Yes"),"Tier 2 – Priority",IF(Z163&lt;=Weights!$C$20,"Tier 3 – Standard rotation","Tier 4 – Reserve"))))</f>
        <v>Tier 2 – Priority</v>
      </c>
      <c r="AB163" s="18" t="s">
        <v>1172</v>
      </c>
      <c r="AC163" s="27" t="s">
        <v>1173</v>
      </c>
      <c r="AD163" s="18" t="s">
        <v>129</v>
      </c>
      <c r="AE163" s="15" t="s">
        <v>130</v>
      </c>
      <c r="AF163" s="23" t="s">
        <v>131</v>
      </c>
      <c r="AG163" s="29" t="n">
        <f aca="false">IF(OR(Z163&lt;=Weights!$C$19,AF163="Yes"),Y163,Y163-5000)</f>
        <v>59.69837</v>
      </c>
      <c r="AH163" s="15" t="n">
        <f aca="false">IF(OR(Z163&lt;=Weights!$C$19,AF163="Yes"),RANK(AG163,$AG$5:$AG$172,0),"")</f>
        <v>49</v>
      </c>
    </row>
    <row r="164" customFormat="false" ht="35.05" hidden="false" customHeight="false" outlineLevel="0" collapsed="false">
      <c r="A164" s="18" t="s">
        <v>1174</v>
      </c>
      <c r="B164" s="27" t="s">
        <v>1175</v>
      </c>
      <c r="C164" s="18" t="s">
        <v>1176</v>
      </c>
      <c r="D164" s="18" t="s">
        <v>497</v>
      </c>
      <c r="E164" s="18" t="s">
        <v>1177</v>
      </c>
      <c r="F164" s="18" t="s">
        <v>153</v>
      </c>
      <c r="G164" s="15" t="n">
        <v>2023</v>
      </c>
      <c r="H164" s="15" t="n">
        <v>5</v>
      </c>
      <c r="I164" s="23" t="n">
        <v>5</v>
      </c>
      <c r="J164" s="23" t="n">
        <v>4</v>
      </c>
      <c r="K164" s="23" t="n">
        <v>3</v>
      </c>
      <c r="L164" s="23" t="n">
        <v>5</v>
      </c>
      <c r="M164" s="23" t="n">
        <v>0</v>
      </c>
      <c r="N164" s="23" t="n">
        <v>0</v>
      </c>
      <c r="O164" s="23" t="n">
        <v>2</v>
      </c>
      <c r="P164" s="23" t="n">
        <v>1.5</v>
      </c>
      <c r="Q164" s="23" t="n">
        <v>1.6</v>
      </c>
      <c r="R164" s="23" t="n">
        <v>3.5</v>
      </c>
      <c r="S164" s="23" t="n">
        <v>3</v>
      </c>
      <c r="T164" s="23" t="n">
        <v>0</v>
      </c>
      <c r="U164" s="18" t="s">
        <v>126</v>
      </c>
      <c r="V164" s="18"/>
      <c r="W164" s="28" t="n">
        <f aca="false">MIN(100,MAX(0,ROUND(SUMPRODUCT(I164:S164,$I$3:$S$3)/SUM($I$3:$S$3)/5*100+T164,1)))</f>
        <v>56.7</v>
      </c>
      <c r="X164" s="15" t="str">
        <f aca="false">IF(U164="Yes","No","Yes")</f>
        <v>Yes</v>
      </c>
      <c r="Y164" s="29" t="n">
        <f aca="false">IF(X164="Yes",W164,W164-1000)-ROW()/100000</f>
        <v>56.69836</v>
      </c>
      <c r="Z164" s="15" t="n">
        <f aca="false">RANK(Y164,$Y$5:$Y$172,0)</f>
        <v>109</v>
      </c>
      <c r="AA164" s="15" t="str">
        <f aca="false">IF(X164="No","Hold – resolve flag",IF(Z164&lt;=Weights!$C$18,"Tier 1 – Flagship launch",IF(OR(Z164&lt;=Weights!$C$19,AF164="Yes"),"Tier 2 – Priority",IF(Z164&lt;=Weights!$C$20,"Tier 3 – Standard rotation","Tier 4 – Reserve"))))</f>
        <v>Tier 4 – Reserve</v>
      </c>
      <c r="AB164" s="18" t="s">
        <v>1178</v>
      </c>
      <c r="AC164" s="27" t="s">
        <v>1179</v>
      </c>
      <c r="AD164" s="18" t="s">
        <v>334</v>
      </c>
      <c r="AE164" s="15" t="s">
        <v>130</v>
      </c>
      <c r="AF164" s="23" t="s">
        <v>126</v>
      </c>
      <c r="AG164" s="29" t="n">
        <f aca="false">IF(OR(Z164&lt;=Weights!$C$19,AF164="Yes"),Y164,Y164-5000)</f>
        <v>-4943.30164</v>
      </c>
      <c r="AH164" s="15" t="str">
        <f aca="false">IF(OR(Z164&lt;=Weights!$C$19,AF164="Yes"),RANK(AG164,$AG$5:$AG$172,0),"")</f>
        <v/>
      </c>
    </row>
    <row r="165" customFormat="false" ht="35.05" hidden="false" customHeight="false" outlineLevel="0" collapsed="false">
      <c r="A165" s="18" t="s">
        <v>1180</v>
      </c>
      <c r="B165" s="27" t="s">
        <v>1181</v>
      </c>
      <c r="C165" s="18" t="s">
        <v>1182</v>
      </c>
      <c r="D165" s="18" t="s">
        <v>926</v>
      </c>
      <c r="E165" s="18" t="s">
        <v>1183</v>
      </c>
      <c r="F165" s="18" t="s">
        <v>213</v>
      </c>
      <c r="G165" s="15" t="n">
        <v>2024</v>
      </c>
      <c r="H165" s="15" t="n">
        <v>8</v>
      </c>
      <c r="I165" s="23" t="n">
        <v>5</v>
      </c>
      <c r="J165" s="23" t="n">
        <v>4</v>
      </c>
      <c r="K165" s="23" t="n">
        <v>2</v>
      </c>
      <c r="L165" s="23" t="n">
        <v>5</v>
      </c>
      <c r="M165" s="23" t="n">
        <v>0</v>
      </c>
      <c r="N165" s="23" t="n">
        <v>0</v>
      </c>
      <c r="O165" s="23" t="n">
        <v>2</v>
      </c>
      <c r="P165" s="23" t="n">
        <v>1.5</v>
      </c>
      <c r="Q165" s="23" t="n">
        <v>1.9</v>
      </c>
      <c r="R165" s="23" t="n">
        <v>3.5</v>
      </c>
      <c r="S165" s="23" t="n">
        <v>5</v>
      </c>
      <c r="T165" s="23" t="n">
        <v>0</v>
      </c>
      <c r="U165" s="18" t="s">
        <v>126</v>
      </c>
      <c r="V165" s="18"/>
      <c r="W165" s="28" t="n">
        <f aca="false">MIN(100,MAX(0,ROUND(SUMPRODUCT(I165:S165,$I$3:$S$3)/SUM($I$3:$S$3)/5*100+T165,1)))</f>
        <v>58.7</v>
      </c>
      <c r="X165" s="15" t="str">
        <f aca="false">IF(U165="Yes","No","Yes")</f>
        <v>Yes</v>
      </c>
      <c r="Y165" s="29" t="n">
        <f aca="false">IF(X165="Yes",W165,W165-1000)-ROW()/100000</f>
        <v>58.69835</v>
      </c>
      <c r="Z165" s="15" t="n">
        <f aca="false">RANK(Y165,$Y$5:$Y$172,0)</f>
        <v>96</v>
      </c>
      <c r="AA165" s="15" t="str">
        <f aca="false">IF(X165="No","Hold – resolve flag",IF(Z165&lt;=Weights!$C$18,"Tier 1 – Flagship launch",IF(OR(Z165&lt;=Weights!$C$19,AF165="Yes"),"Tier 2 – Priority",IF(Z165&lt;=Weights!$C$20,"Tier 3 – Standard rotation","Tier 4 – Reserve"))))</f>
        <v>Tier 4 – Reserve</v>
      </c>
      <c r="AB165" s="18" t="s">
        <v>1184</v>
      </c>
      <c r="AC165" s="27" t="s">
        <v>1185</v>
      </c>
      <c r="AD165" s="18" t="s">
        <v>334</v>
      </c>
      <c r="AE165" s="15" t="s">
        <v>130</v>
      </c>
      <c r="AF165" s="23" t="s">
        <v>126</v>
      </c>
      <c r="AG165" s="29" t="n">
        <f aca="false">IF(OR(Z165&lt;=Weights!$C$19,AF165="Yes"),Y165,Y165-5000)</f>
        <v>-4941.30165</v>
      </c>
      <c r="AH165" s="15" t="str">
        <f aca="false">IF(OR(Z165&lt;=Weights!$C$19,AF165="Yes"),RANK(AG165,$AG$5:$AG$172,0),"")</f>
        <v/>
      </c>
    </row>
    <row r="166" customFormat="false" ht="35.05" hidden="false" customHeight="false" outlineLevel="0" collapsed="false">
      <c r="A166" s="18" t="s">
        <v>1186</v>
      </c>
      <c r="B166" s="27" t="s">
        <v>1187</v>
      </c>
      <c r="C166" s="18" t="s">
        <v>1188</v>
      </c>
      <c r="D166" s="18" t="s">
        <v>144</v>
      </c>
      <c r="E166" s="18" t="s">
        <v>940</v>
      </c>
      <c r="F166" s="18" t="s">
        <v>153</v>
      </c>
      <c r="G166" s="15" t="n">
        <v>2023</v>
      </c>
      <c r="H166" s="15" t="n">
        <v>3</v>
      </c>
      <c r="I166" s="23" t="n">
        <v>5</v>
      </c>
      <c r="J166" s="23" t="n">
        <v>3</v>
      </c>
      <c r="K166" s="23" t="n">
        <v>4</v>
      </c>
      <c r="L166" s="23" t="n">
        <v>4</v>
      </c>
      <c r="M166" s="23" t="n">
        <v>0</v>
      </c>
      <c r="N166" s="23" t="n">
        <v>0</v>
      </c>
      <c r="O166" s="23" t="n">
        <v>2</v>
      </c>
      <c r="P166" s="23" t="n">
        <v>1.5</v>
      </c>
      <c r="Q166" s="23" t="n">
        <v>4.2</v>
      </c>
      <c r="R166" s="23" t="n">
        <v>3.5</v>
      </c>
      <c r="S166" s="23" t="n">
        <v>2</v>
      </c>
      <c r="T166" s="23" t="n">
        <v>0</v>
      </c>
      <c r="U166" s="18" t="s">
        <v>126</v>
      </c>
      <c r="V166" s="18"/>
      <c r="W166" s="28" t="n">
        <f aca="false">MIN(100,MAX(0,ROUND(SUMPRODUCT(I166:S166,$I$3:$S$3)/SUM($I$3:$S$3)/5*100+T166,1)))</f>
        <v>56.4</v>
      </c>
      <c r="X166" s="15" t="str">
        <f aca="false">IF(U166="Yes","No","Yes")</f>
        <v>Yes</v>
      </c>
      <c r="Y166" s="29" t="n">
        <f aca="false">IF(X166="Yes",W166,W166-1000)-ROW()/100000</f>
        <v>56.39834</v>
      </c>
      <c r="Z166" s="15" t="n">
        <f aca="false">RANK(Y166,$Y$5:$Y$172,0)</f>
        <v>111</v>
      </c>
      <c r="AA166" s="15" t="str">
        <f aca="false">IF(X166="No","Hold – resolve flag",IF(Z166&lt;=Weights!$C$18,"Tier 1 – Flagship launch",IF(OR(Z166&lt;=Weights!$C$19,AF166="Yes"),"Tier 2 – Priority",IF(Z166&lt;=Weights!$C$20,"Tier 3 – Standard rotation","Tier 4 – Reserve"))))</f>
        <v>Tier 4 – Reserve</v>
      </c>
      <c r="AB166" s="18" t="s">
        <v>1189</v>
      </c>
      <c r="AC166" s="27" t="s">
        <v>1190</v>
      </c>
      <c r="AD166" s="18" t="s">
        <v>129</v>
      </c>
      <c r="AE166" s="15" t="s">
        <v>130</v>
      </c>
      <c r="AF166" s="23" t="s">
        <v>126</v>
      </c>
      <c r="AG166" s="29" t="n">
        <f aca="false">IF(OR(Z166&lt;=Weights!$C$19,AF166="Yes"),Y166,Y166-5000)</f>
        <v>-4943.60166</v>
      </c>
      <c r="AH166" s="15" t="str">
        <f aca="false">IF(OR(Z166&lt;=Weights!$C$19,AF166="Yes"),RANK(AG166,$AG$5:$AG$172,0),"")</f>
        <v/>
      </c>
    </row>
    <row r="167" customFormat="false" ht="35.05" hidden="false" customHeight="false" outlineLevel="0" collapsed="false">
      <c r="A167" s="18" t="s">
        <v>1191</v>
      </c>
      <c r="B167" s="27" t="s">
        <v>1192</v>
      </c>
      <c r="C167" s="18" t="s">
        <v>1193</v>
      </c>
      <c r="D167" s="18" t="s">
        <v>144</v>
      </c>
      <c r="E167" s="18" t="s">
        <v>1134</v>
      </c>
      <c r="F167" s="18" t="s">
        <v>153</v>
      </c>
      <c r="G167" s="15" t="n">
        <v>2023</v>
      </c>
      <c r="H167" s="15" t="n">
        <v>5</v>
      </c>
      <c r="I167" s="23" t="n">
        <v>5</v>
      </c>
      <c r="J167" s="23" t="n">
        <v>3</v>
      </c>
      <c r="K167" s="23" t="n">
        <v>3</v>
      </c>
      <c r="L167" s="23" t="n">
        <v>4</v>
      </c>
      <c r="M167" s="23" t="n">
        <v>0</v>
      </c>
      <c r="N167" s="23" t="n">
        <v>0</v>
      </c>
      <c r="O167" s="23" t="n">
        <v>2</v>
      </c>
      <c r="P167" s="23" t="n">
        <v>1.5</v>
      </c>
      <c r="Q167" s="23" t="n">
        <v>4.2</v>
      </c>
      <c r="R167" s="23" t="n">
        <v>3.5</v>
      </c>
      <c r="S167" s="23" t="n">
        <v>2</v>
      </c>
      <c r="T167" s="23" t="n">
        <v>0</v>
      </c>
      <c r="U167" s="18" t="s">
        <v>126</v>
      </c>
      <c r="V167" s="18"/>
      <c r="W167" s="28" t="n">
        <f aca="false">MIN(100,MAX(0,ROUND(SUMPRODUCT(I167:S167,$I$3:$S$3)/SUM($I$3:$S$3)/5*100+T167,1)))</f>
        <v>54.8</v>
      </c>
      <c r="X167" s="15" t="str">
        <f aca="false">IF(U167="Yes","No","Yes")</f>
        <v>Yes</v>
      </c>
      <c r="Y167" s="29" t="n">
        <f aca="false">IF(X167="Yes",W167,W167-1000)-ROW()/100000</f>
        <v>54.79833</v>
      </c>
      <c r="Z167" s="15" t="n">
        <f aca="false">RANK(Y167,$Y$5:$Y$172,0)</f>
        <v>126</v>
      </c>
      <c r="AA167" s="15" t="str">
        <f aca="false">IF(X167="No","Hold – resolve flag",IF(Z167&lt;=Weights!$C$18,"Tier 1 – Flagship launch",IF(OR(Z167&lt;=Weights!$C$19,AF167="Yes"),"Tier 2 – Priority",IF(Z167&lt;=Weights!$C$20,"Tier 3 – Standard rotation","Tier 4 – Reserve"))))</f>
        <v>Tier 4 – Reserve</v>
      </c>
      <c r="AB167" s="18" t="s">
        <v>1194</v>
      </c>
      <c r="AC167" s="27" t="s">
        <v>1195</v>
      </c>
      <c r="AD167" s="18" t="s">
        <v>129</v>
      </c>
      <c r="AE167" s="15" t="s">
        <v>130</v>
      </c>
      <c r="AF167" s="23" t="s">
        <v>126</v>
      </c>
      <c r="AG167" s="29" t="n">
        <f aca="false">IF(OR(Z167&lt;=Weights!$C$19,AF167="Yes"),Y167,Y167-5000)</f>
        <v>-4945.20167</v>
      </c>
      <c r="AH167" s="15" t="str">
        <f aca="false">IF(OR(Z167&lt;=Weights!$C$19,AF167="Yes"),RANK(AG167,$AG$5:$AG$172,0),"")</f>
        <v/>
      </c>
    </row>
    <row r="168" customFormat="false" ht="35.05" hidden="false" customHeight="false" outlineLevel="0" collapsed="false">
      <c r="A168" s="18" t="s">
        <v>1196</v>
      </c>
      <c r="B168" s="27" t="s">
        <v>1197</v>
      </c>
      <c r="C168" s="18" t="s">
        <v>1198</v>
      </c>
      <c r="D168" s="18" t="s">
        <v>678</v>
      </c>
      <c r="E168" s="18" t="s">
        <v>1199</v>
      </c>
      <c r="F168" s="18" t="s">
        <v>153</v>
      </c>
      <c r="G168" s="15" t="n">
        <v>2024</v>
      </c>
      <c r="H168" s="15" t="n">
        <v>8</v>
      </c>
      <c r="I168" s="23" t="n">
        <v>4</v>
      </c>
      <c r="J168" s="23" t="n">
        <v>5</v>
      </c>
      <c r="K168" s="23" t="n">
        <v>2</v>
      </c>
      <c r="L168" s="23" t="n">
        <v>5</v>
      </c>
      <c r="M168" s="23" t="n">
        <v>3</v>
      </c>
      <c r="N168" s="23" t="n">
        <v>0</v>
      </c>
      <c r="O168" s="23" t="n">
        <v>3</v>
      </c>
      <c r="P168" s="23" t="n">
        <v>1.5</v>
      </c>
      <c r="Q168" s="23" t="n">
        <v>3.9</v>
      </c>
      <c r="R168" s="23" t="n">
        <v>3.5</v>
      </c>
      <c r="S168" s="23" t="n">
        <v>3</v>
      </c>
      <c r="T168" s="23" t="n">
        <v>0</v>
      </c>
      <c r="U168" s="18" t="s">
        <v>126</v>
      </c>
      <c r="V168" s="18"/>
      <c r="W168" s="28" t="n">
        <f aca="false">MIN(100,MAX(0,ROUND(SUMPRODUCT(I168:S168,$I$3:$S$3)/SUM($I$3:$S$3)/5*100+T168,1)))</f>
        <v>65.7</v>
      </c>
      <c r="X168" s="15" t="str">
        <f aca="false">IF(U168="Yes","No","Yes")</f>
        <v>Yes</v>
      </c>
      <c r="Y168" s="29" t="n">
        <f aca="false">IF(X168="Yes",W168,W168-1000)-ROW()/100000</f>
        <v>65.69832</v>
      </c>
      <c r="Z168" s="15" t="n">
        <f aca="false">RANK(Y168,$Y$5:$Y$172,0)</f>
        <v>39</v>
      </c>
      <c r="AA168" s="15" t="str">
        <f aca="false">IF(X168="No","Hold – resolve flag",IF(Z168&lt;=Weights!$C$18,"Tier 1 – Flagship launch",IF(OR(Z168&lt;=Weights!$C$19,AF168="Yes"),"Tier 2 – Priority",IF(Z168&lt;=Weights!$C$20,"Tier 3 – Standard rotation","Tier 4 – Reserve"))))</f>
        <v>Tier 2 – Priority</v>
      </c>
      <c r="AB168" s="18" t="s">
        <v>1200</v>
      </c>
      <c r="AC168" s="27" t="s">
        <v>1201</v>
      </c>
      <c r="AD168" s="18" t="s">
        <v>129</v>
      </c>
      <c r="AE168" s="15" t="s">
        <v>130</v>
      </c>
      <c r="AF168" s="23" t="s">
        <v>131</v>
      </c>
      <c r="AG168" s="29" t="n">
        <f aca="false">IF(OR(Z168&lt;=Weights!$C$19,AF168="Yes"),Y168,Y168-5000)</f>
        <v>65.69832</v>
      </c>
      <c r="AH168" s="15" t="n">
        <f aca="false">IF(OR(Z168&lt;=Weights!$C$19,AF168="Yes"),RANK(AG168,$AG$5:$AG$172,0),"")</f>
        <v>33</v>
      </c>
    </row>
    <row r="169" customFormat="false" ht="35.05" hidden="false" customHeight="false" outlineLevel="0" collapsed="false">
      <c r="A169" s="18" t="s">
        <v>1202</v>
      </c>
      <c r="B169" s="27" t="s">
        <v>1203</v>
      </c>
      <c r="C169" s="18" t="s">
        <v>1204</v>
      </c>
      <c r="D169" s="18" t="s">
        <v>603</v>
      </c>
      <c r="E169" s="18" t="s">
        <v>1205</v>
      </c>
      <c r="F169" s="18" t="s">
        <v>153</v>
      </c>
      <c r="G169" s="15" t="n">
        <v>2024</v>
      </c>
      <c r="H169" s="15" t="n">
        <v>2</v>
      </c>
      <c r="I169" s="23" t="n">
        <v>5</v>
      </c>
      <c r="J169" s="23" t="n">
        <v>5</v>
      </c>
      <c r="K169" s="23" t="n">
        <v>5</v>
      </c>
      <c r="L169" s="23" t="n">
        <v>5</v>
      </c>
      <c r="M169" s="23" t="n">
        <v>0</v>
      </c>
      <c r="N169" s="23" t="n">
        <v>3</v>
      </c>
      <c r="O169" s="23" t="n">
        <v>2</v>
      </c>
      <c r="P169" s="23" t="n">
        <v>2</v>
      </c>
      <c r="Q169" s="23" t="n">
        <v>3.9</v>
      </c>
      <c r="R169" s="23" t="n">
        <v>3.5</v>
      </c>
      <c r="S169" s="23" t="n">
        <v>3</v>
      </c>
      <c r="T169" s="23" t="n">
        <v>0</v>
      </c>
      <c r="U169" s="18" t="s">
        <v>126</v>
      </c>
      <c r="V169" s="18"/>
      <c r="W169" s="28" t="n">
        <f aca="false">MIN(100,MAX(0,ROUND(SUMPRODUCT(I169:S169,$I$3:$S$3)/SUM($I$3:$S$3)/5*100+T169,1)))</f>
        <v>70.3</v>
      </c>
      <c r="X169" s="15" t="str">
        <f aca="false">IF(U169="Yes","No","Yes")</f>
        <v>Yes</v>
      </c>
      <c r="Y169" s="29" t="n">
        <f aca="false">IF(X169="Yes",W169,W169-1000)-ROW()/100000</f>
        <v>70.29831</v>
      </c>
      <c r="Z169" s="15" t="n">
        <f aca="false">RANK(Y169,$Y$5:$Y$172,0)</f>
        <v>18</v>
      </c>
      <c r="AA169" s="15" t="str">
        <f aca="false">IF(X169="No","Hold – resolve flag",IF(Z169&lt;=Weights!$C$18,"Tier 1 – Flagship launch",IF(OR(Z169&lt;=Weights!$C$19,AF169="Yes"),"Tier 2 – Priority",IF(Z169&lt;=Weights!$C$20,"Tier 3 – Standard rotation","Tier 4 – Reserve"))))</f>
        <v>Tier 2 – Priority</v>
      </c>
      <c r="AB169" s="18" t="s">
        <v>1206</v>
      </c>
      <c r="AC169" s="27" t="s">
        <v>1207</v>
      </c>
      <c r="AD169" s="18" t="s">
        <v>129</v>
      </c>
      <c r="AE169" s="15" t="s">
        <v>130</v>
      </c>
      <c r="AF169" s="23" t="s">
        <v>131</v>
      </c>
      <c r="AG169" s="29" t="n">
        <f aca="false">IF(OR(Z169&lt;=Weights!$C$19,AF169="Yes"),Y169,Y169-5000)</f>
        <v>70.29831</v>
      </c>
      <c r="AH169" s="15" t="n">
        <f aca="false">IF(OR(Z169&lt;=Weights!$C$19,AF169="Yes"),RANK(AG169,$AG$5:$AG$172,0),"")</f>
        <v>18</v>
      </c>
    </row>
    <row r="170" customFormat="false" ht="35.05" hidden="false" customHeight="false" outlineLevel="0" collapsed="false">
      <c r="A170" s="18" t="s">
        <v>1208</v>
      </c>
      <c r="B170" s="27" t="s">
        <v>1209</v>
      </c>
      <c r="C170" s="18" t="s">
        <v>1210</v>
      </c>
      <c r="D170" s="18" t="s">
        <v>144</v>
      </c>
      <c r="E170" s="18" t="s">
        <v>1211</v>
      </c>
      <c r="F170" s="18" t="s">
        <v>1212</v>
      </c>
      <c r="G170" s="15" t="n">
        <v>2024</v>
      </c>
      <c r="H170" s="15" t="n">
        <v>3</v>
      </c>
      <c r="I170" s="23" t="n">
        <v>2</v>
      </c>
      <c r="J170" s="23" t="n">
        <v>3</v>
      </c>
      <c r="K170" s="23" t="n">
        <v>4</v>
      </c>
      <c r="L170" s="23" t="n">
        <v>4</v>
      </c>
      <c r="M170" s="23" t="n">
        <v>0</v>
      </c>
      <c r="N170" s="23" t="n">
        <v>0</v>
      </c>
      <c r="O170" s="23" t="n">
        <v>2</v>
      </c>
      <c r="P170" s="23" t="n">
        <v>1.5</v>
      </c>
      <c r="Q170" s="23" t="n">
        <v>3.5</v>
      </c>
      <c r="R170" s="23" t="n">
        <v>3.5</v>
      </c>
      <c r="S170" s="23" t="n">
        <v>1</v>
      </c>
      <c r="T170" s="23" t="n">
        <v>0</v>
      </c>
      <c r="U170" s="18" t="s">
        <v>126</v>
      </c>
      <c r="V170" s="18"/>
      <c r="W170" s="28" t="n">
        <f aca="false">MIN(100,MAX(0,ROUND(SUMPRODUCT(I170:S170,$I$3:$S$3)/SUM($I$3:$S$3)/5*100+T170,1)))</f>
        <v>48.9</v>
      </c>
      <c r="X170" s="15" t="str">
        <f aca="false">IF(U170="Yes","No","Yes")</f>
        <v>Yes</v>
      </c>
      <c r="Y170" s="29" t="n">
        <f aca="false">IF(X170="Yes",W170,W170-1000)-ROW()/100000</f>
        <v>48.8983</v>
      </c>
      <c r="Z170" s="15" t="n">
        <f aca="false">RANK(Y170,$Y$5:$Y$172,0)</f>
        <v>148</v>
      </c>
      <c r="AA170" s="15" t="str">
        <f aca="false">IF(X170="No","Hold – resolve flag",IF(Z170&lt;=Weights!$C$18,"Tier 1 – Flagship launch",IF(OR(Z170&lt;=Weights!$C$19,AF170="Yes"),"Tier 2 – Priority",IF(Z170&lt;=Weights!$C$20,"Tier 3 – Standard rotation","Tier 4 – Reserve"))))</f>
        <v>Tier 4 – Reserve</v>
      </c>
      <c r="AB170" s="18" t="s">
        <v>1213</v>
      </c>
      <c r="AC170" s="27" t="s">
        <v>1214</v>
      </c>
      <c r="AD170" s="18" t="s">
        <v>129</v>
      </c>
      <c r="AE170" s="15" t="s">
        <v>130</v>
      </c>
      <c r="AF170" s="23" t="s">
        <v>126</v>
      </c>
      <c r="AG170" s="29" t="n">
        <f aca="false">IF(OR(Z170&lt;=Weights!$C$19,AF170="Yes"),Y170,Y170-5000)</f>
        <v>-4951.1017</v>
      </c>
      <c r="AH170" s="15" t="str">
        <f aca="false">IF(OR(Z170&lt;=Weights!$C$19,AF170="Yes"),RANK(AG170,$AG$5:$AG$172,0),"")</f>
        <v/>
      </c>
    </row>
    <row r="171" customFormat="false" ht="35.05" hidden="false" customHeight="false" outlineLevel="0" collapsed="false">
      <c r="A171" s="18" t="s">
        <v>1215</v>
      </c>
      <c r="B171" s="27" t="s">
        <v>1216</v>
      </c>
      <c r="C171" s="18" t="s">
        <v>1217</v>
      </c>
      <c r="D171" s="18" t="s">
        <v>1218</v>
      </c>
      <c r="E171" s="18" t="s">
        <v>1219</v>
      </c>
      <c r="F171" s="18" t="s">
        <v>263</v>
      </c>
      <c r="G171" s="15" t="n">
        <v>2024</v>
      </c>
      <c r="H171" s="15" t="n">
        <v>7</v>
      </c>
      <c r="I171" s="23" t="n">
        <v>4</v>
      </c>
      <c r="J171" s="23" t="n">
        <v>2</v>
      </c>
      <c r="K171" s="23" t="n">
        <v>3</v>
      </c>
      <c r="L171" s="23" t="n">
        <v>5</v>
      </c>
      <c r="M171" s="23" t="n">
        <v>0</v>
      </c>
      <c r="N171" s="23" t="n">
        <v>0</v>
      </c>
      <c r="O171" s="23" t="n">
        <v>2</v>
      </c>
      <c r="P171" s="23" t="n">
        <v>1.5</v>
      </c>
      <c r="Q171" s="23" t="n">
        <v>3.1</v>
      </c>
      <c r="R171" s="23" t="n">
        <v>3.5</v>
      </c>
      <c r="S171" s="23" t="n">
        <v>3</v>
      </c>
      <c r="T171" s="23" t="n">
        <v>0</v>
      </c>
      <c r="U171" s="18" t="s">
        <v>126</v>
      </c>
      <c r="V171" s="18"/>
      <c r="W171" s="28" t="n">
        <f aca="false">MIN(100,MAX(0,ROUND(SUMPRODUCT(I171:S171,$I$3:$S$3)/SUM($I$3:$S$3)/5*100+T171,1)))</f>
        <v>52.7</v>
      </c>
      <c r="X171" s="15" t="str">
        <f aca="false">IF(U171="Yes","No","Yes")</f>
        <v>Yes</v>
      </c>
      <c r="Y171" s="29" t="n">
        <f aca="false">IF(X171="Yes",W171,W171-1000)-ROW()/100000</f>
        <v>52.69829</v>
      </c>
      <c r="Z171" s="15" t="n">
        <f aca="false">RANK(Y171,$Y$5:$Y$172,0)</f>
        <v>132</v>
      </c>
      <c r="AA171" s="15" t="str">
        <f aca="false">IF(X171="No","Hold – resolve flag",IF(Z171&lt;=Weights!$C$18,"Tier 1 – Flagship launch",IF(OR(Z171&lt;=Weights!$C$19,AF171="Yes"),"Tier 2 – Priority",IF(Z171&lt;=Weights!$C$20,"Tier 3 – Standard rotation","Tier 4 – Reserve"))))</f>
        <v>Tier 4 – Reserve</v>
      </c>
      <c r="AB171" s="18" t="s">
        <v>1220</v>
      </c>
      <c r="AC171" s="27" t="s">
        <v>1221</v>
      </c>
      <c r="AD171" s="18" t="s">
        <v>349</v>
      </c>
      <c r="AE171" s="15" t="s">
        <v>130</v>
      </c>
      <c r="AF171" s="23" t="s">
        <v>126</v>
      </c>
      <c r="AG171" s="29" t="n">
        <f aca="false">IF(OR(Z171&lt;=Weights!$C$19,AF171="Yes"),Y171,Y171-5000)</f>
        <v>-4947.30171</v>
      </c>
      <c r="AH171" s="15" t="str">
        <f aca="false">IF(OR(Z171&lt;=Weights!$C$19,AF171="Yes"),RANK(AG171,$AG$5:$AG$172,0),"")</f>
        <v/>
      </c>
    </row>
    <row r="172" customFormat="false" ht="35.05" hidden="false" customHeight="false" outlineLevel="0" collapsed="false">
      <c r="A172" s="18" t="s">
        <v>1222</v>
      </c>
      <c r="B172" s="27" t="s">
        <v>1223</v>
      </c>
      <c r="C172" s="18" t="s">
        <v>1224</v>
      </c>
      <c r="D172" s="18" t="s">
        <v>1225</v>
      </c>
      <c r="E172" s="18" t="s">
        <v>236</v>
      </c>
      <c r="F172" s="18" t="s">
        <v>153</v>
      </c>
      <c r="G172" s="15" t="n">
        <v>2024</v>
      </c>
      <c r="H172" s="15" t="n">
        <v>8</v>
      </c>
      <c r="I172" s="23" t="n">
        <v>4</v>
      </c>
      <c r="J172" s="23" t="n">
        <v>4</v>
      </c>
      <c r="K172" s="23" t="n">
        <v>2</v>
      </c>
      <c r="L172" s="23" t="n">
        <v>5</v>
      </c>
      <c r="M172" s="23" t="n">
        <v>0</v>
      </c>
      <c r="N172" s="23" t="n">
        <v>0</v>
      </c>
      <c r="O172" s="23" t="n">
        <v>2</v>
      </c>
      <c r="P172" s="23" t="n">
        <v>1.5</v>
      </c>
      <c r="Q172" s="23" t="n">
        <v>1.8</v>
      </c>
      <c r="R172" s="23" t="n">
        <v>3.5</v>
      </c>
      <c r="S172" s="23" t="n">
        <v>3</v>
      </c>
      <c r="T172" s="23" t="n">
        <v>0</v>
      </c>
      <c r="U172" s="18" t="s">
        <v>126</v>
      </c>
      <c r="V172" s="18"/>
      <c r="W172" s="28" t="n">
        <f aca="false">MIN(100,MAX(0,ROUND(SUMPRODUCT(I172:S172,$I$3:$S$3)/SUM($I$3:$S$3)/5*100+T172,1)))</f>
        <v>53.8</v>
      </c>
      <c r="X172" s="15" t="str">
        <f aca="false">IF(U172="Yes","No","Yes")</f>
        <v>Yes</v>
      </c>
      <c r="Y172" s="29" t="n">
        <f aca="false">IF(X172="Yes",W172,W172-1000)-ROW()/100000</f>
        <v>53.79828</v>
      </c>
      <c r="Z172" s="15" t="n">
        <f aca="false">RANK(Y172,$Y$5:$Y$172,0)</f>
        <v>131</v>
      </c>
      <c r="AA172" s="15" t="str">
        <f aca="false">IF(X172="No","Hold – resolve flag",IF(Z172&lt;=Weights!$C$18,"Tier 1 – Flagship launch",IF(OR(Z172&lt;=Weights!$C$19,AF172="Yes"),"Tier 2 – Priority",IF(Z172&lt;=Weights!$C$20,"Tier 3 – Standard rotation","Tier 4 – Reserve"))))</f>
        <v>Tier 4 – Reserve</v>
      </c>
      <c r="AB172" s="18" t="s">
        <v>876</v>
      </c>
      <c r="AC172" s="27" t="s">
        <v>1226</v>
      </c>
      <c r="AD172" s="18" t="s">
        <v>1227</v>
      </c>
      <c r="AE172" s="15" t="s">
        <v>130</v>
      </c>
      <c r="AF172" s="23" t="s">
        <v>126</v>
      </c>
      <c r="AG172" s="29" t="n">
        <f aca="false">IF(OR(Z172&lt;=Weights!$C$19,AF172="Yes"),Y172,Y172-5000)</f>
        <v>-4946.20172</v>
      </c>
      <c r="AH172" s="15" t="str">
        <f aca="false">IF(OR(Z172&lt;=Weights!$C$19,AF172="Yes"),RANK(AG172,$AG$5:$AG$172,0),"")</f>
        <v/>
      </c>
    </row>
  </sheetData>
  <autoFilter ref="A4:AH172"/>
  <conditionalFormatting sqref="I5:S172">
    <cfRule type="colorScale" priority="2">
      <colorScale>
        <cfvo type="num" val="0"/>
        <cfvo type="num" val="2.5"/>
        <cfvo type="num" val="5"/>
        <color rgb="FFFDECEA"/>
        <color rgb="FFFFFFFF"/>
        <color rgb="FFD1FADF"/>
      </colorScale>
    </cfRule>
  </conditionalFormatting>
  <conditionalFormatting sqref="W5:W172">
    <cfRule type="dataBar" priority="3">
      <dataBar showValue="1" minLength="10" maxLength="90">
        <cfvo type="num" val="0"/>
        <cfvo type="num" val="100"/>
        <color rgb="FF0F7C7A"/>
      </dataBar>
      <extLst>
        <ext xmlns:x14="http://schemas.microsoft.com/office/spreadsheetml/2009/9/main" uri="{B025F937-C7B1-47D3-B67F-A62EFF666E3E}">
          <x14:id>{E048DC22-A771-4A4F-A8A4-8920485A6FE5}</x14:id>
        </ext>
      </extLst>
    </cfRule>
  </conditionalFormatting>
  <conditionalFormatting sqref="AA5:AA172">
    <cfRule type="expression" priority="4" aboveAverage="0" equalAverage="0" bottom="0" percent="0" rank="0" text="" dxfId="0">
      <formula>LEFT($AA5,6)="Tier 1"</formula>
    </cfRule>
    <cfRule type="expression" priority="5" aboveAverage="0" equalAverage="0" bottom="0" percent="0" rank="0" text="" dxfId="1">
      <formula>LEFT($AA5,6)="Tier 2"</formula>
    </cfRule>
    <cfRule type="expression" priority="6" aboveAverage="0" equalAverage="0" bottom="0" percent="0" rank="0" text="" dxfId="2">
      <formula>LEFT($AA5,6)="Tier 3"</formula>
    </cfRule>
    <cfRule type="expression" priority="7" aboveAverage="0" equalAverage="0" bottom="0" percent="0" rank="0" text="" dxfId="3">
      <formula>LEFT($AA5,6)="Tier 4"</formula>
    </cfRule>
    <cfRule type="expression" priority="8" aboveAverage="0" equalAverage="0" bottom="0" percent="0" rank="0" text="" dxfId="4">
      <formula>LEFT($AA5,4)="Hold"</formula>
    </cfRule>
  </conditionalFormatting>
  <dataValidations count="3">
    <dataValidation allowBlank="false" errorStyle="stop" operator="between" showDropDown="false" showErrorMessage="false" showInputMessage="false" sqref="U5:U172 AF5:AF172" type="list">
      <formula1>"Yes,No"</formula1>
      <formula2>0</formula2>
    </dataValidation>
    <dataValidation allowBlank="false" error="Score must be 0–5" errorStyle="stop" operator="between" showDropDown="false" showErrorMessage="false" showInputMessage="false" sqref="I5:S172" type="decimal">
      <formula1>0</formula1>
      <formula2>5</formula2>
    </dataValidation>
    <dataValidation allowBlank="false" errorStyle="stop" operator="between" showDropDown="false" showErrorMessage="false" showInputMessage="false" sqref="T5:T172" type="decimal">
      <formula1>-10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48DC22-A771-4A4F-A8A4-8920485A6FE5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0F7C7A"/>
              <x14:axisColor rgb="FF000000"/>
            </x14:dataBar>
          </x14:cfRule>
          <xm:sqref>W5:W172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1228</v>
      </c>
    </row>
    <row r="2" customFormat="false" ht="15" hidden="false" customHeight="false" outlineLevel="0" collapsed="false">
      <c r="A2" s="2" t="s">
        <v>1229</v>
      </c>
    </row>
    <row r="4" customFormat="false" ht="15" hidden="false" customHeight="false" outlineLevel="0" collapsed="false">
      <c r="A4" s="8" t="s">
        <v>1230</v>
      </c>
      <c r="B4" s="8" t="s">
        <v>1231</v>
      </c>
      <c r="C4" s="8" t="s">
        <v>1232</v>
      </c>
    </row>
    <row r="5" customFormat="false" ht="15" hidden="false" customHeight="false" outlineLevel="0" collapsed="false">
      <c r="A5" s="30" t="s">
        <v>23</v>
      </c>
      <c r="B5" s="30" t="n">
        <f aca="false">COUNTIF(Scoring!$AA$5:$AA$172,A5)</f>
        <v>10</v>
      </c>
      <c r="C5" s="31" t="n">
        <f aca="false">IFERROR(AVERAGEIF(Scoring!$AA$5:$AA$172,A5,Scoring!$W$5:$W$172),0)</f>
        <v>75.74</v>
      </c>
    </row>
    <row r="6" customFormat="false" ht="15" hidden="false" customHeight="false" outlineLevel="0" collapsed="false">
      <c r="A6" s="30" t="s">
        <v>25</v>
      </c>
      <c r="B6" s="30" t="n">
        <f aca="false">COUNTIF(Scoring!$AA$5:$AA$172,A6)</f>
        <v>49</v>
      </c>
      <c r="C6" s="31" t="n">
        <f aca="false">IFERROR(AVERAGEIF(Scoring!$AA$5:$AA$172,A6,Scoring!$W$5:$W$172),0)</f>
        <v>64.6265306122449</v>
      </c>
    </row>
    <row r="7" customFormat="false" ht="15" hidden="false" customHeight="false" outlineLevel="0" collapsed="false">
      <c r="A7" s="30" t="s">
        <v>27</v>
      </c>
      <c r="B7" s="30" t="n">
        <f aca="false">COUNTIF(Scoring!$AA$5:$AA$172,A7)</f>
        <v>35</v>
      </c>
      <c r="C7" s="31" t="n">
        <f aca="false">IFERROR(AVERAGEIF(Scoring!$AA$5:$AA$172,A7,Scoring!$W$5:$W$172),0)</f>
        <v>63.1457142857143</v>
      </c>
    </row>
    <row r="8" customFormat="false" ht="15" hidden="false" customHeight="false" outlineLevel="0" collapsed="false">
      <c r="A8" s="30" t="s">
        <v>29</v>
      </c>
      <c r="B8" s="30" t="n">
        <f aca="false">COUNTIF(Scoring!$AA$5:$AA$172,A8)</f>
        <v>58</v>
      </c>
      <c r="C8" s="31" t="n">
        <f aca="false">IFERROR(AVERAGEIF(Scoring!$AA$5:$AA$172,A8,Scoring!$W$5:$W$172),0)</f>
        <v>54.3741379310345</v>
      </c>
    </row>
    <row r="9" customFormat="false" ht="15" hidden="false" customHeight="false" outlineLevel="0" collapsed="false">
      <c r="A9" s="30" t="s">
        <v>31</v>
      </c>
      <c r="B9" s="30" t="n">
        <f aca="false">COUNTIF(Scoring!$AA$5:$AA$172,A9)</f>
        <v>16</v>
      </c>
      <c r="C9" s="31" t="n">
        <f aca="false">IFERROR(AVERAGEIF(Scoring!$AA$5:$AA$172,A9,Scoring!$W$5:$W$172),0)</f>
        <v>51.7625</v>
      </c>
    </row>
    <row r="10" customFormat="false" ht="15" hidden="false" customHeight="false" outlineLevel="0" collapsed="false">
      <c r="A10" s="32" t="s">
        <v>104</v>
      </c>
      <c r="B10" s="32" t="n">
        <f aca="false">SUM(B5:B9)</f>
        <v>168</v>
      </c>
    </row>
    <row r="12" customFormat="false" ht="23.85" hidden="false" customHeight="false" outlineLevel="0" collapsed="false">
      <c r="A12" s="8" t="s">
        <v>68</v>
      </c>
      <c r="B12" s="8" t="s">
        <v>69</v>
      </c>
      <c r="C12" s="8" t="s">
        <v>1233</v>
      </c>
      <c r="D12" s="8" t="s">
        <v>1234</v>
      </c>
      <c r="E12" s="8" t="s">
        <v>1235</v>
      </c>
    </row>
    <row r="13" customFormat="false" ht="15" hidden="false" customHeight="false" outlineLevel="0" collapsed="false">
      <c r="A13" s="30" t="s">
        <v>72</v>
      </c>
      <c r="B13" s="33" t="n">
        <f aca="false">Weights!C5</f>
        <v>0.08</v>
      </c>
      <c r="C13" s="34" t="n">
        <f aca="false">AVERAGEIFS(Scoring!$I$5:$I$172,Scoring!$AH$5:$AH$172,"&gt;=1")</f>
        <v>4.16666666666667</v>
      </c>
      <c r="D13" s="34" t="n">
        <f aca="false">AVERAGE(Scoring!$I$5:$I$172)</f>
        <v>3.97619047619048</v>
      </c>
      <c r="E13" s="34" t="n">
        <f aca="false">C13-D13</f>
        <v>0.190476190476191</v>
      </c>
    </row>
    <row r="14" customFormat="false" ht="15" hidden="false" customHeight="false" outlineLevel="0" collapsed="false">
      <c r="A14" s="30" t="s">
        <v>75</v>
      </c>
      <c r="B14" s="33" t="n">
        <f aca="false">Weights!C6</f>
        <v>0.12</v>
      </c>
      <c r="C14" s="34" t="n">
        <f aca="false">AVERAGEIFS(Scoring!$J$5:$J$172,Scoring!$AH$5:$AH$172,"&gt;=1")</f>
        <v>4</v>
      </c>
      <c r="D14" s="34" t="n">
        <f aca="false">AVERAGE(Scoring!$J$5:$J$172)</f>
        <v>3.54166666666667</v>
      </c>
      <c r="E14" s="34" t="n">
        <f aca="false">C14-D14</f>
        <v>0.458333333333334</v>
      </c>
    </row>
    <row r="15" customFormat="false" ht="15" hidden="false" customHeight="false" outlineLevel="0" collapsed="false">
      <c r="A15" s="30" t="s">
        <v>38</v>
      </c>
      <c r="B15" s="33" t="n">
        <f aca="false">Weights!C7</f>
        <v>0.08</v>
      </c>
      <c r="C15" s="34" t="n">
        <f aca="false">AVERAGEIFS(Scoring!$K$5:$K$172,Scoring!$AH$5:$AH$172,"&gt;=1")</f>
        <v>3.15</v>
      </c>
      <c r="D15" s="34" t="n">
        <f aca="false">AVERAGE(Scoring!$K$5:$K$172)</f>
        <v>2.95238095238095</v>
      </c>
      <c r="E15" s="34" t="n">
        <f aca="false">C15-D15</f>
        <v>0.197619047619047</v>
      </c>
    </row>
    <row r="16" customFormat="false" ht="15" hidden="false" customHeight="false" outlineLevel="0" collapsed="false">
      <c r="A16" s="30" t="s">
        <v>80</v>
      </c>
      <c r="B16" s="33" t="n">
        <f aca="false">Weights!C8</f>
        <v>0.1</v>
      </c>
      <c r="C16" s="34" t="n">
        <f aca="false">AVERAGEIFS(Scoring!$L$5:$L$172,Scoring!$AH$5:$AH$172,"&gt;=1")</f>
        <v>4.63333333333333</v>
      </c>
      <c r="D16" s="34" t="n">
        <f aca="false">AVERAGE(Scoring!$L$5:$L$172)</f>
        <v>4.52380952380952</v>
      </c>
      <c r="E16" s="34" t="n">
        <f aca="false">C16-D16</f>
        <v>0.10952380952381</v>
      </c>
    </row>
    <row r="17" customFormat="false" ht="15" hidden="false" customHeight="false" outlineLevel="0" collapsed="false">
      <c r="A17" s="30" t="s">
        <v>83</v>
      </c>
      <c r="B17" s="33" t="n">
        <f aca="false">Weights!C9</f>
        <v>0.07</v>
      </c>
      <c r="C17" s="34" t="n">
        <f aca="false">AVERAGEIFS(Scoring!$M$5:$M$172,Scoring!$AH$5:$AH$172,"&gt;=1")</f>
        <v>1.15</v>
      </c>
      <c r="D17" s="34" t="n">
        <f aca="false">AVERAGE(Scoring!$M$5:$M$172)</f>
        <v>0.803571428571429</v>
      </c>
      <c r="E17" s="34" t="n">
        <f aca="false">C17-D17</f>
        <v>0.346428571428571</v>
      </c>
    </row>
    <row r="18" customFormat="false" ht="15" hidden="false" customHeight="false" outlineLevel="0" collapsed="false">
      <c r="A18" s="30" t="s">
        <v>86</v>
      </c>
      <c r="B18" s="33" t="n">
        <f aca="false">Weights!C10</f>
        <v>0.06</v>
      </c>
      <c r="C18" s="34" t="n">
        <f aca="false">AVERAGEIFS(Scoring!$N$5:$N$172,Scoring!$AH$5:$AH$172,"&gt;=1")</f>
        <v>1.18333333333333</v>
      </c>
      <c r="D18" s="34" t="n">
        <f aca="false">AVERAGE(Scoring!$N$5:$N$172)</f>
        <v>0.720238095238095</v>
      </c>
      <c r="E18" s="34" t="n">
        <f aca="false">C18-D18</f>
        <v>0.463095238095238</v>
      </c>
    </row>
    <row r="19" customFormat="false" ht="15" hidden="false" customHeight="false" outlineLevel="0" collapsed="false">
      <c r="A19" s="30" t="s">
        <v>89</v>
      </c>
      <c r="B19" s="33" t="n">
        <f aca="false">Weights!C11</f>
        <v>0.1</v>
      </c>
      <c r="C19" s="34" t="n">
        <f aca="false">AVERAGEIFS(Scoring!$O$5:$O$172,Scoring!$AH$5:$AH$172,"&gt;=1")</f>
        <v>2.56666666666667</v>
      </c>
      <c r="D19" s="34" t="n">
        <f aca="false">AVERAGE(Scoring!$O$5:$O$172)</f>
        <v>2.36309523809524</v>
      </c>
      <c r="E19" s="34" t="n">
        <f aca="false">C19-D19</f>
        <v>0.203571428571429</v>
      </c>
    </row>
    <row r="20" customFormat="false" ht="15" hidden="false" customHeight="false" outlineLevel="0" collapsed="false">
      <c r="A20" s="30" t="s">
        <v>92</v>
      </c>
      <c r="B20" s="33" t="n">
        <f aca="false">Weights!C12</f>
        <v>0.08</v>
      </c>
      <c r="C20" s="34" t="n">
        <f aca="false">AVERAGEIFS(Scoring!$P$5:$P$172,Scoring!$AH$5:$AH$172,"&gt;=1")</f>
        <v>2.72833333333333</v>
      </c>
      <c r="D20" s="34" t="n">
        <f aca="false">AVERAGE(Scoring!$P$5:$P$172)</f>
        <v>2.47083333333333</v>
      </c>
      <c r="E20" s="34" t="n">
        <f aca="false">C20-D20</f>
        <v>0.257499999999999</v>
      </c>
    </row>
    <row r="21" customFormat="false" ht="15" hidden="false" customHeight="false" outlineLevel="0" collapsed="false">
      <c r="A21" s="30" t="s">
        <v>95</v>
      </c>
      <c r="B21" s="33" t="n">
        <f aca="false">Weights!C13</f>
        <v>0.08</v>
      </c>
      <c r="C21" s="34" t="n">
        <f aca="false">AVERAGEIFS(Scoring!$Q$5:$Q$172,Scoring!$AH$5:$AH$172,"&gt;=1")</f>
        <v>4.29833333333333</v>
      </c>
      <c r="D21" s="34" t="n">
        <f aca="false">AVERAGE(Scoring!$Q$5:$Q$172)</f>
        <v>3.93452380952381</v>
      </c>
      <c r="E21" s="34" t="n">
        <f aca="false">C21-D21</f>
        <v>0.363809523809524</v>
      </c>
    </row>
    <row r="22" customFormat="false" ht="15" hidden="false" customHeight="false" outlineLevel="0" collapsed="false">
      <c r="A22" s="30" t="s">
        <v>98</v>
      </c>
      <c r="B22" s="33" t="n">
        <f aca="false">Weights!C14</f>
        <v>0.15</v>
      </c>
      <c r="C22" s="34" t="n">
        <f aca="false">AVERAGEIFS(Scoring!$R$5:$R$172,Scoring!$AH$5:$AH$172,"&gt;=1")</f>
        <v>3.41333333333333</v>
      </c>
      <c r="D22" s="34" t="n">
        <f aca="false">AVERAGE(Scoring!$R$5:$R$172)</f>
        <v>3.05416666666667</v>
      </c>
      <c r="E22" s="34" t="n">
        <f aca="false">C22-D22</f>
        <v>0.359166666666667</v>
      </c>
    </row>
    <row r="23" customFormat="false" ht="15" hidden="false" customHeight="false" outlineLevel="0" collapsed="false">
      <c r="A23" s="30" t="s">
        <v>101</v>
      </c>
      <c r="B23" s="33" t="n">
        <f aca="false">Weights!C15</f>
        <v>0.08</v>
      </c>
      <c r="C23" s="34" t="n">
        <f aca="false">AVERAGEIFS(Scoring!$S$5:$S$172,Scoring!$AH$5:$AH$172,"&gt;=1")</f>
        <v>3.88333333333333</v>
      </c>
      <c r="D23" s="34" t="n">
        <f aca="false">AVERAGE(Scoring!$S$5:$S$172)</f>
        <v>3.41071428571429</v>
      </c>
      <c r="E23" s="34" t="n">
        <f aca="false">C23-D23</f>
        <v>0.472619047619048</v>
      </c>
    </row>
    <row r="26" customFormat="false" ht="15" hidden="false" customHeight="false" outlineLevel="0" collapsed="false">
      <c r="A26" s="8" t="s">
        <v>58</v>
      </c>
      <c r="B26" s="8" t="s">
        <v>1231</v>
      </c>
      <c r="C26" s="8" t="s">
        <v>1236</v>
      </c>
      <c r="D26" s="8" t="s">
        <v>1232</v>
      </c>
    </row>
    <row r="27" customFormat="false" ht="15" hidden="false" customHeight="false" outlineLevel="0" collapsed="false">
      <c r="A27" s="30" t="s">
        <v>153</v>
      </c>
      <c r="B27" s="30" t="n">
        <f aca="false">COUNTIF(Scoring!$F$5:$F$172,A27)</f>
        <v>87</v>
      </c>
      <c r="C27" s="30" t="n">
        <f aca="false">COUNTIFS(Scoring!$F$5:$F$172,A27,Scoring!$AH$5:$AH$172,"&gt;=1")</f>
        <v>28</v>
      </c>
      <c r="D27" s="31" t="n">
        <f aca="false">AVERAGEIF(Scoring!$F$5:$F$172,A27,Scoring!$W$5:$W$172)</f>
        <v>59.3873563218391</v>
      </c>
    </row>
    <row r="28" customFormat="false" ht="15" hidden="false" customHeight="false" outlineLevel="0" collapsed="false">
      <c r="A28" s="30" t="s">
        <v>125</v>
      </c>
      <c r="B28" s="30" t="n">
        <f aca="false">COUNTIF(Scoring!$F$5:$F$172,A28)</f>
        <v>15</v>
      </c>
      <c r="C28" s="30" t="n">
        <f aca="false">COUNTIFS(Scoring!$F$5:$F$172,A28,Scoring!$AH$5:$AH$172,"&gt;=1")</f>
        <v>9</v>
      </c>
      <c r="D28" s="31" t="n">
        <f aca="false">AVERAGEIF(Scoring!$F$5:$F$172,A28,Scoring!$W$5:$W$172)</f>
        <v>65.6133333333333</v>
      </c>
    </row>
    <row r="29" customFormat="false" ht="15" hidden="false" customHeight="false" outlineLevel="0" collapsed="false">
      <c r="A29" s="30" t="s">
        <v>213</v>
      </c>
      <c r="B29" s="30" t="n">
        <f aca="false">COUNTIF(Scoring!$F$5:$F$172,A29)</f>
        <v>14</v>
      </c>
      <c r="C29" s="30" t="n">
        <f aca="false">COUNTIFS(Scoring!$F$5:$F$172,A29,Scoring!$AH$5:$AH$172,"&gt;=1")</f>
        <v>9</v>
      </c>
      <c r="D29" s="31" t="n">
        <f aca="false">AVERAGEIF(Scoring!$F$5:$F$172,A29,Scoring!$W$5:$W$172)</f>
        <v>65.95</v>
      </c>
    </row>
    <row r="30" customFormat="false" ht="15" hidden="false" customHeight="false" outlineLevel="0" collapsed="false">
      <c r="A30" s="30" t="s">
        <v>354</v>
      </c>
      <c r="B30" s="30" t="n">
        <f aca="false">COUNTIF(Scoring!$F$5:$F$172,A30)</f>
        <v>10</v>
      </c>
      <c r="C30" s="30" t="n">
        <f aca="false">COUNTIFS(Scoring!$F$5:$F$172,A30,Scoring!$AH$5:$AH$172,"&gt;=1")</f>
        <v>4</v>
      </c>
      <c r="D30" s="31" t="n">
        <f aca="false">AVERAGEIF(Scoring!$F$5:$F$172,A30,Scoring!$W$5:$W$172)</f>
        <v>58.41</v>
      </c>
    </row>
    <row r="31" customFormat="false" ht="15" hidden="false" customHeight="false" outlineLevel="0" collapsed="false">
      <c r="A31" s="30" t="s">
        <v>263</v>
      </c>
      <c r="B31" s="30" t="n">
        <f aca="false">COUNTIF(Scoring!$F$5:$F$172,A31)</f>
        <v>7</v>
      </c>
      <c r="C31" s="30" t="n">
        <f aca="false">COUNTIFS(Scoring!$F$5:$F$172,A31,Scoring!$AH$5:$AH$172,"&gt;=1")</f>
        <v>2</v>
      </c>
      <c r="D31" s="31" t="n">
        <f aca="false">AVERAGEIF(Scoring!$F$5:$F$172,A31,Scoring!$W$5:$W$172)</f>
        <v>54.6</v>
      </c>
    </row>
    <row r="32" customFormat="false" ht="15" hidden="false" customHeight="false" outlineLevel="0" collapsed="false">
      <c r="A32" s="30" t="s">
        <v>383</v>
      </c>
      <c r="B32" s="30" t="n">
        <f aca="false">COUNTIF(Scoring!$F$5:$F$172,A32)</f>
        <v>6</v>
      </c>
      <c r="C32" s="30" t="n">
        <f aca="false">COUNTIFS(Scoring!$F$5:$F$172,A32,Scoring!$AH$5:$AH$172,"&gt;=1")</f>
        <v>0</v>
      </c>
      <c r="D32" s="31" t="n">
        <f aca="false">AVERAGEIF(Scoring!$F$5:$F$172,A32,Scoring!$W$5:$W$172)</f>
        <v>55.05</v>
      </c>
    </row>
    <row r="33" customFormat="false" ht="15" hidden="false" customHeight="false" outlineLevel="0" collapsed="false">
      <c r="A33" s="30" t="s">
        <v>146</v>
      </c>
      <c r="B33" s="30" t="n">
        <f aca="false">COUNTIF(Scoring!$F$5:$F$172,A33)</f>
        <v>5</v>
      </c>
      <c r="C33" s="30" t="n">
        <f aca="false">COUNTIFS(Scoring!$F$5:$F$172,A33,Scoring!$AH$5:$AH$172,"&gt;=1")</f>
        <v>1</v>
      </c>
      <c r="D33" s="31" t="n">
        <f aca="false">AVERAGEIF(Scoring!$F$5:$F$172,A33,Scoring!$W$5:$W$172)</f>
        <v>63.58</v>
      </c>
    </row>
    <row r="34" customFormat="false" ht="15" hidden="false" customHeight="false" outlineLevel="0" collapsed="false">
      <c r="A34" s="30" t="s">
        <v>183</v>
      </c>
      <c r="B34" s="30" t="n">
        <f aca="false">COUNTIF(Scoring!$F$5:$F$172,A34)</f>
        <v>4</v>
      </c>
      <c r="C34" s="30" t="n">
        <f aca="false">COUNTIFS(Scoring!$F$5:$F$172,A34,Scoring!$AH$5:$AH$172,"&gt;=1")</f>
        <v>1</v>
      </c>
      <c r="D34" s="31" t="n">
        <f aca="false">AVERAGEIF(Scoring!$F$5:$F$172,A34,Scoring!$W$5:$W$172)</f>
        <v>58.575</v>
      </c>
    </row>
    <row r="35" customFormat="false" ht="15" hidden="false" customHeight="false" outlineLevel="0" collapsed="false">
      <c r="A35" s="30" t="s">
        <v>137</v>
      </c>
      <c r="B35" s="30" t="n">
        <f aca="false">COUNTIF(Scoring!$F$5:$F$172,A35)</f>
        <v>4</v>
      </c>
      <c r="C35" s="30" t="n">
        <f aca="false">COUNTIFS(Scoring!$F$5:$F$172,A35,Scoring!$AH$5:$AH$172,"&gt;=1")</f>
        <v>3</v>
      </c>
      <c r="D35" s="31" t="n">
        <f aca="false">AVERAGEIF(Scoring!$F$5:$F$172,A35,Scoring!$W$5:$W$172)</f>
        <v>66.45</v>
      </c>
    </row>
    <row r="36" customFormat="false" ht="15" hidden="false" customHeight="false" outlineLevel="0" collapsed="false">
      <c r="A36" s="30" t="s">
        <v>645</v>
      </c>
      <c r="B36" s="30" t="n">
        <f aca="false">COUNTIF(Scoring!$F$5:$F$172,A36)</f>
        <v>3</v>
      </c>
      <c r="C36" s="30" t="n">
        <f aca="false">COUNTIFS(Scoring!$F$5:$F$172,A36,Scoring!$AH$5:$AH$172,"&gt;=1")</f>
        <v>1</v>
      </c>
      <c r="D36" s="31" t="n">
        <f aca="false">AVERAGEIF(Scoring!$F$5:$F$172,A36,Scoring!$W$5:$W$172)</f>
        <v>64.3</v>
      </c>
    </row>
    <row r="37" customFormat="false" ht="15" hidden="false" customHeight="false" outlineLevel="0" collapsed="false">
      <c r="A37" s="30" t="s">
        <v>444</v>
      </c>
      <c r="B37" s="30" t="n">
        <f aca="false">COUNTIF(Scoring!$F$5:$F$172,A37)</f>
        <v>3</v>
      </c>
      <c r="C37" s="30" t="n">
        <f aca="false">COUNTIFS(Scoring!$F$5:$F$172,A37,Scoring!$AH$5:$AH$172,"&gt;=1")</f>
        <v>1</v>
      </c>
      <c r="D37" s="31" t="n">
        <f aca="false">AVERAGEIF(Scoring!$F$5:$F$172,A37,Scoring!$W$5:$W$172)</f>
        <v>54.9666666666667</v>
      </c>
    </row>
    <row r="38" customFormat="false" ht="15" hidden="false" customHeight="false" outlineLevel="0" collapsed="false">
      <c r="A38" s="30" t="s">
        <v>829</v>
      </c>
      <c r="B38" s="30" t="n">
        <f aca="false">COUNTIF(Scoring!$F$5:$F$172,A38)</f>
        <v>2</v>
      </c>
      <c r="C38" s="30" t="n">
        <f aca="false">COUNTIFS(Scoring!$F$5:$F$172,A38,Scoring!$AH$5:$AH$172,"&gt;=1")</f>
        <v>1</v>
      </c>
      <c r="D38" s="31" t="n">
        <f aca="false">AVERAGEIF(Scoring!$F$5:$F$172,A38,Scoring!$W$5:$W$172)</f>
        <v>66.4</v>
      </c>
    </row>
    <row r="39" customFormat="false" ht="15" hidden="false" customHeight="false" outlineLevel="0" collapsed="false">
      <c r="A39" s="30" t="s">
        <v>205</v>
      </c>
      <c r="B39" s="30" t="n">
        <f aca="false">COUNTIF(Scoring!$F$5:$F$172,A39)</f>
        <v>2</v>
      </c>
      <c r="C39" s="30" t="n">
        <f aca="false">COUNTIFS(Scoring!$F$5:$F$172,A39,Scoring!$AH$5:$AH$172,"&gt;=1")</f>
        <v>0</v>
      </c>
      <c r="D39" s="31" t="n">
        <f aca="false">AVERAGEIF(Scoring!$F$5:$F$172,A39,Scoring!$W$5:$W$172)</f>
        <v>55.85</v>
      </c>
    </row>
    <row r="40" customFormat="false" ht="15" hidden="false" customHeight="false" outlineLevel="0" collapsed="false">
      <c r="A40" s="30" t="s">
        <v>1212</v>
      </c>
      <c r="B40" s="30" t="n">
        <f aca="false">COUNTIF(Scoring!$F$5:$F$172,A40)</f>
        <v>1</v>
      </c>
      <c r="C40" s="30" t="n">
        <f aca="false">COUNTIFS(Scoring!$F$5:$F$172,A40,Scoring!$AH$5:$AH$172,"&gt;=1")</f>
        <v>0</v>
      </c>
      <c r="D40" s="31" t="n">
        <f aca="false">AVERAGEIF(Scoring!$F$5:$F$172,A40,Scoring!$W$5:$W$172)</f>
        <v>48.9</v>
      </c>
    </row>
    <row r="41" customFormat="false" ht="15" hidden="false" customHeight="false" outlineLevel="0" collapsed="false">
      <c r="A41" s="30" t="s">
        <v>437</v>
      </c>
      <c r="B41" s="30" t="n">
        <f aca="false">COUNTIF(Scoring!$F$5:$F$172,A41)</f>
        <v>1</v>
      </c>
      <c r="C41" s="30" t="n">
        <f aca="false">COUNTIFS(Scoring!$F$5:$F$172,A41,Scoring!$AH$5:$AH$172,"&gt;=1")</f>
        <v>0</v>
      </c>
      <c r="D41" s="31" t="n">
        <f aca="false">AVERAGEIF(Scoring!$F$5:$F$172,A41,Scoring!$W$5:$W$172)</f>
        <v>48.7</v>
      </c>
    </row>
    <row r="42" customFormat="false" ht="15" hidden="false" customHeight="false" outlineLevel="0" collapsed="false">
      <c r="A42" s="30" t="s">
        <v>672</v>
      </c>
      <c r="B42" s="30" t="n">
        <f aca="false">COUNTIF(Scoring!$F$5:$F$172,A42)</f>
        <v>1</v>
      </c>
      <c r="C42" s="30" t="n">
        <f aca="false">COUNTIFS(Scoring!$F$5:$F$172,A42,Scoring!$AH$5:$AH$172,"&gt;=1")</f>
        <v>0</v>
      </c>
      <c r="D42" s="31" t="n">
        <f aca="false">AVERAGEIF(Scoring!$F$5:$F$172,A42,Scoring!$W$5:$W$172)</f>
        <v>60.8</v>
      </c>
    </row>
    <row r="43" customFormat="false" ht="15" hidden="false" customHeight="false" outlineLevel="0" collapsed="false">
      <c r="A43" s="30" t="s">
        <v>269</v>
      </c>
      <c r="B43" s="30" t="n">
        <f aca="false">COUNTIF(Scoring!$F$5:$F$172,A43)</f>
        <v>1</v>
      </c>
      <c r="C43" s="30" t="n">
        <f aca="false">COUNTIFS(Scoring!$F$5:$F$172,A43,Scoring!$AH$5:$AH$172,"&gt;=1")</f>
        <v>0</v>
      </c>
      <c r="D43" s="31" t="n">
        <f aca="false">AVERAGEIF(Scoring!$F$5:$F$172,A43,Scoring!$W$5:$W$172)</f>
        <v>46.4</v>
      </c>
    </row>
    <row r="44" customFormat="false" ht="15" hidden="false" customHeight="false" outlineLevel="0" collapsed="false">
      <c r="A44" s="30" t="s">
        <v>584</v>
      </c>
      <c r="B44" s="30" t="n">
        <f aca="false">COUNTIF(Scoring!$F$5:$F$172,A44)</f>
        <v>1</v>
      </c>
      <c r="C44" s="30" t="n">
        <f aca="false">COUNTIFS(Scoring!$F$5:$F$172,A44,Scoring!$AH$5:$AH$172,"&gt;=1")</f>
        <v>0</v>
      </c>
      <c r="D44" s="31" t="n">
        <f aca="false">AVERAGEIF(Scoring!$F$5:$F$172,A44,Scoring!$W$5:$W$172)</f>
        <v>54.8</v>
      </c>
    </row>
    <row r="45" customFormat="false" ht="15" hidden="false" customHeight="false" outlineLevel="0" collapsed="false">
      <c r="A45" s="30" t="s">
        <v>913</v>
      </c>
      <c r="B45" s="30" t="n">
        <f aca="false">COUNTIF(Scoring!$F$5:$F$172,A45)</f>
        <v>1</v>
      </c>
      <c r="C45" s="30" t="n">
        <f aca="false">COUNTIFS(Scoring!$F$5:$F$172,A45,Scoring!$AH$5:$AH$172,"&gt;=1")</f>
        <v>0</v>
      </c>
      <c r="D45" s="31" t="n">
        <f aca="false">AVERAGEIF(Scoring!$F$5:$F$172,A45,Scoring!$W$5:$W$172)</f>
        <v>65.4</v>
      </c>
    </row>
    <row r="47" customFormat="false" ht="15" hidden="false" customHeight="false" outlineLevel="0" collapsed="false">
      <c r="A47" s="8" t="s">
        <v>59</v>
      </c>
      <c r="B47" s="8" t="s">
        <v>1231</v>
      </c>
      <c r="C47" s="8" t="s">
        <v>1236</v>
      </c>
      <c r="D47" s="8" t="s">
        <v>1232</v>
      </c>
    </row>
    <row r="48" customFormat="false" ht="15" hidden="false" customHeight="false" outlineLevel="0" collapsed="false">
      <c r="A48" s="35" t="n">
        <v>2021</v>
      </c>
      <c r="B48" s="30" t="n">
        <f aca="false">COUNTIF(Scoring!$G$5:$G$172,A48)</f>
        <v>29</v>
      </c>
      <c r="C48" s="30" t="n">
        <f aca="false">COUNTIFS(Scoring!$G$5:$G$172,A48,Scoring!$AH$5:$AH$172,"&gt;=1")</f>
        <v>6</v>
      </c>
      <c r="D48" s="31" t="n">
        <f aca="false">AVERAGEIF(Scoring!$G$5:$G$172,A48,Scoring!$W$5:$W$172)</f>
        <v>58.7551724137931</v>
      </c>
    </row>
    <row r="49" customFormat="false" ht="15" hidden="false" customHeight="false" outlineLevel="0" collapsed="false">
      <c r="A49" s="35" t="n">
        <v>2022</v>
      </c>
      <c r="B49" s="30" t="n">
        <f aca="false">COUNTIF(Scoring!$G$5:$G$172,A49)</f>
        <v>8</v>
      </c>
      <c r="C49" s="30" t="n">
        <f aca="false">COUNTIFS(Scoring!$G$5:$G$172,A49,Scoring!$AH$5:$AH$172,"&gt;=1")</f>
        <v>2</v>
      </c>
      <c r="D49" s="31" t="n">
        <f aca="false">AVERAGEIF(Scoring!$G$5:$G$172,A49,Scoring!$W$5:$W$172)</f>
        <v>60.9125</v>
      </c>
    </row>
    <row r="50" customFormat="false" ht="15" hidden="false" customHeight="false" outlineLevel="0" collapsed="false">
      <c r="A50" s="35" t="n">
        <v>2023</v>
      </c>
      <c r="B50" s="30" t="n">
        <f aca="false">COUNTIF(Scoring!$G$5:$G$172,A50)</f>
        <v>31</v>
      </c>
      <c r="C50" s="30" t="n">
        <f aca="false">COUNTIFS(Scoring!$G$5:$G$172,A50,Scoring!$AH$5:$AH$172,"&gt;=1")</f>
        <v>11</v>
      </c>
      <c r="D50" s="31" t="n">
        <f aca="false">AVERAGEIF(Scoring!$G$5:$G$172,A50,Scoring!$W$5:$W$172)</f>
        <v>61.7193548387097</v>
      </c>
    </row>
    <row r="51" customFormat="false" ht="15" hidden="false" customHeight="false" outlineLevel="0" collapsed="false">
      <c r="A51" s="35" t="n">
        <v>2024</v>
      </c>
      <c r="B51" s="30" t="n">
        <f aca="false">COUNTIF(Scoring!$G$5:$G$172,A51)</f>
        <v>62</v>
      </c>
      <c r="C51" s="30" t="n">
        <f aca="false">COUNTIFS(Scoring!$G$5:$G$172,A51,Scoring!$AH$5:$AH$172,"&gt;=1")</f>
        <v>26</v>
      </c>
      <c r="D51" s="31" t="n">
        <f aca="false">AVERAGEIF(Scoring!$G$5:$G$172,A51,Scoring!$W$5:$W$172)</f>
        <v>59.6</v>
      </c>
    </row>
    <row r="52" customFormat="false" ht="15" hidden="false" customHeight="false" outlineLevel="0" collapsed="false">
      <c r="A52" s="35" t="n">
        <v>2025</v>
      </c>
      <c r="B52" s="30" t="n">
        <f aca="false">COUNTIF(Scoring!$G$5:$G$172,A52)</f>
        <v>24</v>
      </c>
      <c r="C52" s="30" t="n">
        <f aca="false">COUNTIFS(Scoring!$G$5:$G$172,A52,Scoring!$AH$5:$AH$172,"&gt;=1")</f>
        <v>9</v>
      </c>
      <c r="D52" s="31" t="n">
        <f aca="false">AVERAGEIF(Scoring!$G$5:$G$172,A52,Scoring!$W$5:$W$172)</f>
        <v>60.8916666666667</v>
      </c>
    </row>
    <row r="53" customFormat="false" ht="15" hidden="false" customHeight="false" outlineLevel="0" collapsed="false">
      <c r="A53" s="35" t="n">
        <v>2026</v>
      </c>
      <c r="B53" s="30" t="n">
        <f aca="false">COUNTIF(Scoring!$G$5:$G$172,A53)</f>
        <v>14</v>
      </c>
      <c r="C53" s="30" t="n">
        <f aca="false">COUNTIFS(Scoring!$G$5:$G$172,A53,Scoring!$AH$5:$AH$172,"&gt;=1")</f>
        <v>6</v>
      </c>
      <c r="D53" s="31" t="n">
        <f aca="false">AVERAGEIF(Scoring!$G$5:$G$172,A53,Scoring!$W$5:$W$172)</f>
        <v>61.0714285714286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2026-10-07T12:37:06Z</dcterms:created>
  <dc:creator>openpyxl</dc:creator>
  <dc:description/>
  <dc:language>en-US</dc:language>
  <cp:lastModifiedBy/>
  <dcterms:modified xsi:type="dcterms:W3CDTF">2026-10-07T12:37:06Z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