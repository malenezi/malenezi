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bank (answer key)" sheetId="1" state="visible" r:id="rId1"/>
    <sheet xmlns:r="http://schemas.openxmlformats.org/officeDocument/2006/relationships" name="Quiz (student sheet)" sheetId="2" state="visible" r:id="rId2"/>
    <sheet xmlns:r="http://schemas.openxmlformats.org/officeDocument/2006/relationships" name="Capstone rubric" sheetId="3" state="visible" r:id="rId3"/>
    <sheet xmlns:r="http://schemas.openxmlformats.org/officeDocument/2006/relationships" name="Capstone scoring sheet" sheetId="4" state="visible" r:id="rId4"/>
    <sheet xmlns:r="http://schemas.openxmlformats.org/officeDocument/2006/relationships" name="Course weighting" sheetId="5" state="visible" r:id="rId5"/>
    <sheet xmlns:r="http://schemas.openxmlformats.org/officeDocument/2006/relationships" name="PA-1 and PA-2 rubrics" sheetId="6" state="visible" r:id="rId6"/>
    <sheet xmlns:r="http://schemas.openxmlformats.org/officeDocument/2006/relationships" name="BENCHMARKS templ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1E7A4D"/>
    </font>
    <font>
      <b val="1"/>
      <color rgb="000B2545"/>
    </font>
    <font>
      <i val="1"/>
      <color rgb="005A6B7C"/>
    </font>
  </fonts>
  <fills count="7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3497B"/>
      </patternFill>
    </fill>
    <fill>
      <patternFill patternType="solid">
        <fgColor rgb="00F1F5F9"/>
      </patternFill>
    </fill>
    <fill>
      <patternFill patternType="solid">
        <fgColor rgb="001C7293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D8E0E8"/>
      </left>
      <right style="thin">
        <color rgb="00D8E0E8"/>
      </right>
      <top style="thin">
        <color rgb="00D8E0E8"/>
      </top>
      <bottom style="thin">
        <color rgb="00D8E0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1" fillId="5" borderId="0" applyAlignment="1" pivotButton="0" quotePrefix="0" xfId="0">
      <alignment vertical="center" wrapText="1"/>
    </xf>
    <xf numFmtId="0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2" customWidth="1" min="3" max="3"/>
    <col width="72" customWidth="1" min="4" max="4"/>
    <col width="14" customWidth="1" min="5" max="5"/>
    <col width="8" customWidth="1" min="6" max="6"/>
  </cols>
  <sheetData>
    <row r="1" ht="28" customHeight="1">
      <c r="A1" s="1" t="inlineStr">
        <is>
          <t>#</t>
        </is>
      </c>
      <c r="B1" s="1" t="inlineStr">
        <is>
          <t>Module</t>
        </is>
      </c>
      <c r="C1" s="1" t="inlineStr">
        <is>
          <t>Question</t>
        </is>
      </c>
      <c r="D1" s="1" t="inlineStr">
        <is>
          <t>Model answer</t>
        </is>
      </c>
      <c r="E1" s="1" t="inlineStr">
        <is>
          <t>Bloom level</t>
        </is>
      </c>
      <c r="F1" s="1" t="inlineStr">
        <is>
          <t>Marks</t>
        </is>
      </c>
    </row>
    <row r="2" ht="34" customHeight="1">
      <c r="A2" s="2" t="n">
        <v>1</v>
      </c>
      <c r="B2" s="2" t="inlineStr">
        <is>
          <t>M1</t>
        </is>
      </c>
      <c r="C2" s="2" t="inlineStr">
        <is>
          <t>Why can't you shuffle a time series before splitting?</t>
        </is>
      </c>
      <c r="D2" s="3" t="inlineStr">
        <is>
          <t>Order is the signal; shuffling leaks the future into the past — test points end up preceding training points.</t>
        </is>
      </c>
      <c r="E2" s="2" t="inlineStr">
        <is>
          <t>Recall</t>
        </is>
      </c>
      <c r="F2" s="2" t="n">
        <v>1</v>
      </c>
    </row>
    <row r="3" ht="34" customHeight="1">
      <c r="A3" s="2" t="n">
        <v>2</v>
      </c>
      <c r="B3" s="2" t="inlineStr">
        <is>
          <t>M1</t>
        </is>
      </c>
      <c r="C3" s="2" t="inlineStr">
        <is>
          <t>What does `asfreq("h")` do that `parse_dates` alone does not?</t>
        </is>
      </c>
      <c r="D3" s="3" t="inlineStr">
        <is>
          <t>It declares the frequency and materialises missing timestamps as NaN, turning a silent gap into a visible one.</t>
        </is>
      </c>
      <c r="E3" s="2" t="inlineStr">
        <is>
          <t>Recall</t>
        </is>
      </c>
      <c r="F3" s="2" t="n">
        <v>1</v>
      </c>
    </row>
    <row r="4" ht="34" customHeight="1">
      <c r="A4" s="2" t="n">
        <v>3</v>
      </c>
      <c r="B4" s="2" t="inlineStr">
        <is>
          <t>M1</t>
        </is>
      </c>
      <c r="C4" s="2" t="inlineStr">
        <is>
          <t>Additive or multiplicative — which for a seasonal swing that grows with the level?</t>
        </is>
      </c>
      <c r="D4" s="3" t="inlineStr">
        <is>
          <t>Multiplicative (or take logs and model additively).</t>
        </is>
      </c>
      <c r="E4" s="2" t="inlineStr">
        <is>
          <t>Apply</t>
        </is>
      </c>
      <c r="F4" s="2" t="n">
        <v>1</v>
      </c>
    </row>
    <row r="5" ht="34" customHeight="1">
      <c r="A5" s="2" t="n">
        <v>4</v>
      </c>
      <c r="B5" s="2" t="inlineStr">
        <is>
          <t>M2</t>
        </is>
      </c>
      <c r="C5" s="2" t="inlineStr">
        <is>
          <t>ADF p = 0.01 and KPSS p = 0.01 — what is the reconciled verdict?</t>
        </is>
      </c>
      <c r="D5" s="3" t="inlineStr">
        <is>
          <t>Difference-stationary. ADF says stationary, KPSS disagrees, so difference once and re-test.</t>
        </is>
      </c>
      <c r="E5" s="2" t="inlineStr">
        <is>
          <t>Analyse</t>
        </is>
      </c>
      <c r="F5" s="2" t="n">
        <v>1</v>
      </c>
    </row>
    <row r="6" ht="34" customHeight="1">
      <c r="A6" s="2" t="n">
        <v>5</v>
      </c>
      <c r="B6" s="2" t="inlineStr">
        <is>
          <t>M2</t>
        </is>
      </c>
      <c r="C6" s="2" t="inlineStr">
        <is>
          <t>For seasonal data, seasonal or regular differencing first?</t>
        </is>
      </c>
      <c r="D6" s="3" t="inlineStr">
        <is>
          <t>Seasonal first, then re-test; apply a regular difference only if it is still non-stationary.</t>
        </is>
      </c>
      <c r="E6" s="2" t="inlineStr">
        <is>
          <t>Apply</t>
        </is>
      </c>
      <c r="F6" s="2" t="n">
        <v>1</v>
      </c>
    </row>
    <row r="7" ht="34" customHeight="1">
      <c r="A7" s="2" t="n">
        <v>6</v>
      </c>
      <c r="B7" s="2" t="inlineStr">
        <is>
          <t>M2</t>
        </is>
      </c>
      <c r="C7" s="2" t="inlineStr">
        <is>
          <t>ACF tails off, PACF cuts off after lag 2 — model and order?</t>
        </is>
      </c>
      <c r="D7" s="3" t="inlineStr">
        <is>
          <t>AR(2).</t>
        </is>
      </c>
      <c r="E7" s="2" t="inlineStr">
        <is>
          <t>Analyse</t>
        </is>
      </c>
      <c r="F7" s="2" t="n">
        <v>1</v>
      </c>
    </row>
    <row r="8" ht="34" customHeight="1">
      <c r="A8" s="2" t="n">
        <v>7</v>
      </c>
      <c r="B8" s="2" t="inlineStr">
        <is>
          <t>M3</t>
        </is>
      </c>
      <c r="C8" s="2" t="inlineStr">
        <is>
          <t>What is m in SARIMA(p,d,q)(P,D,Q)m for a daily cycle on hourly data?</t>
        </is>
      </c>
      <c r="D8" s="3" t="inlineStr">
        <is>
          <t>24 — m is observations per cycle.</t>
        </is>
      </c>
      <c r="E8" s="2" t="inlineStr">
        <is>
          <t>Recall</t>
        </is>
      </c>
      <c r="F8" s="2" t="n">
        <v>1</v>
      </c>
    </row>
    <row r="9" ht="34" customHeight="1">
      <c r="A9" s="2" t="n">
        <v>8</v>
      </c>
      <c r="B9" s="2" t="inlineStr">
        <is>
          <t>M3</t>
        </is>
      </c>
      <c r="C9" s="2" t="inlineStr">
        <is>
          <t>Why must SARIMAX exogenous regressors be known at forecast time?</t>
        </is>
      </c>
      <c r="D9" s="3" t="inlineStr">
        <is>
          <t>You need their future values to produce the forecast; using realised values instead is a leak that looks like skill.</t>
        </is>
      </c>
      <c r="E9" s="2" t="inlineStr">
        <is>
          <t>Understand</t>
        </is>
      </c>
      <c r="F9" s="2" t="n">
        <v>1</v>
      </c>
    </row>
    <row r="10" ht="34" customHeight="1">
      <c r="A10" s="2" t="n">
        <v>9</v>
      </c>
      <c r="B10" s="2" t="inlineStr">
        <is>
          <t>M3</t>
        </is>
      </c>
      <c r="C10" s="2" t="inlineStr">
        <is>
          <t>A Ljung-Box p-value below 0.05 on the residuals means what?</t>
        </is>
      </c>
      <c r="D10" s="3" t="inlineStr">
        <is>
          <t>Residual autocorrelation remains — the model is under-specified; raise an order and refit.</t>
        </is>
      </c>
      <c r="E10" s="2" t="inlineStr">
        <is>
          <t>Analyse</t>
        </is>
      </c>
      <c r="F10" s="2" t="n">
        <v>1</v>
      </c>
    </row>
    <row r="11" ht="34" customHeight="1">
      <c r="A11" s="2" t="n">
        <v>10</v>
      </c>
      <c r="B11" s="2" t="inlineStr">
        <is>
          <t>M4</t>
        </is>
      </c>
      <c r="C11" s="2" t="inlineStr">
        <is>
          <t>Why can a gradient-boosted tree never forecast a record-high demand?</t>
        </is>
      </c>
      <c r="D11" s="3" t="inlineStr">
        <is>
          <t>Trees interpolate within the training range; they cannot extrapolate beyond any value they have seen.</t>
        </is>
      </c>
      <c r="E11" s="2" t="inlineStr">
        <is>
          <t>Understand</t>
        </is>
      </c>
      <c r="F11" s="2" t="n">
        <v>1</v>
      </c>
    </row>
    <row r="12" ht="34" customHeight="1">
      <c r="A12" s="2" t="n">
        <v>11</v>
      </c>
      <c r="B12" s="2" t="inlineStr">
        <is>
          <t>M4</t>
        </is>
      </c>
      <c r="C12" s="2" t="inlineStr">
        <is>
          <t>What does `.shift(1)` before a rolling feature prevent?</t>
        </is>
      </c>
      <c r="D12" s="3" t="inlineStr">
        <is>
          <t>The window including the target hour — a self-leak.</t>
        </is>
      </c>
      <c r="E12" s="2" t="inlineStr">
        <is>
          <t>Apply</t>
        </is>
      </c>
      <c r="F12" s="2" t="n">
        <v>1</v>
      </c>
    </row>
    <row r="13" ht="34" customHeight="1">
      <c r="A13" s="2" t="n">
        <v>12</v>
      </c>
      <c r="B13" s="2" t="inlineStr">
        <is>
          <t>M5</t>
        </is>
      </c>
      <c r="C13" s="2" t="inlineStr">
        <is>
          <t>Prediction interval or confidence interval for a future observation?</t>
        </is>
      </c>
      <c r="D13" s="3" t="inlineStr">
        <is>
          <t>Prediction interval — wider, because it includes the irreducible noise as well as parameter uncertainty.</t>
        </is>
      </c>
      <c r="E13" s="2" t="inlineStr">
        <is>
          <t>Recall</t>
        </is>
      </c>
      <c r="F13" s="2" t="n">
        <v>1</v>
      </c>
    </row>
    <row r="14" ht="34" customHeight="1">
      <c r="A14" s="2" t="n">
        <v>13</v>
      </c>
      <c r="B14" s="2" t="inlineStr">
        <is>
          <t>M5</t>
        </is>
      </c>
      <c r="C14" s="2" t="inlineStr">
        <is>
          <t>Minimising the pinball loss at tau = 0.9 recovers what?</t>
        </is>
      </c>
      <c r="D14" s="3" t="inlineStr">
        <is>
          <t>The 90th percentile.</t>
        </is>
      </c>
      <c r="E14" s="2" t="inlineStr">
        <is>
          <t>Understand</t>
        </is>
      </c>
      <c r="F14" s="2" t="n">
        <v>1</v>
      </c>
    </row>
    <row r="15" ht="34" customHeight="1">
      <c r="A15" s="2" t="n">
        <v>14</v>
      </c>
      <c r="B15" s="2" t="inlineStr">
        <is>
          <t>M5</t>
        </is>
      </c>
      <c r="C15" s="2" t="inlineStr">
        <is>
          <t>What does split-conformal guarantee, and under what assumption?</t>
        </is>
      </c>
      <c r="D15" s="3" t="inlineStr">
        <is>
          <t>Marginal (1 - alpha) coverage, under exchangeability of the calibration and test nonconformity scores.</t>
        </is>
      </c>
      <c r="E15" s="2" t="inlineStr">
        <is>
          <t>Understand</t>
        </is>
      </c>
      <c r="F15" s="2" t="n">
        <v>1</v>
      </c>
    </row>
    <row r="16" ht="34" customHeight="1">
      <c r="A16" s="2" t="n">
        <v>15</v>
      </c>
      <c r="B16" s="2" t="inlineStr">
        <is>
          <t>M5</t>
        </is>
      </c>
      <c r="C16" s="2" t="inlineStr">
        <is>
          <t>Two intervals both cover 90% — which one ships?</t>
        </is>
      </c>
      <c r="D16" s="3" t="inlineStr">
        <is>
          <t>The sharper (narrower) one.</t>
        </is>
      </c>
      <c r="E16" s="2" t="inlineStr">
        <is>
          <t>Apply</t>
        </is>
      </c>
      <c r="F16" s="2" t="n">
        <v>1</v>
      </c>
    </row>
    <row r="17" ht="34" customHeight="1">
      <c r="A17" s="2" t="n">
        <v>16</v>
      </c>
      <c r="B17" s="2" t="inlineStr">
        <is>
          <t>M6</t>
        </is>
      </c>
      <c r="C17" s="2" t="inlineStr">
        <is>
          <t>Expanding versus sliding window — which one forgets old data?</t>
        </is>
      </c>
      <c r="D17" s="3" t="inlineStr">
        <is>
          <t>Sliding (the fixed-length window drops the oldest data as it advances).</t>
        </is>
      </c>
      <c r="E17" s="2" t="inlineStr">
        <is>
          <t>Recall</t>
        </is>
      </c>
      <c r="F17" s="2" t="n">
        <v>1</v>
      </c>
    </row>
    <row r="18" ht="34" customHeight="1">
      <c r="A18" s="2" t="n">
        <v>17</v>
      </c>
      <c r="B18" s="2" t="inlineStr">
        <is>
          <t>M6</t>
        </is>
      </c>
      <c r="C18" s="2" t="inlineStr">
        <is>
          <t>What does MASE &lt; 1 mean?</t>
        </is>
      </c>
      <c r="D18" s="3" t="inlineStr">
        <is>
          <t>The model beats the seasonal-naive baseline.</t>
        </is>
      </c>
      <c r="E18" s="2" t="inlineStr">
        <is>
          <t>Recall</t>
        </is>
      </c>
      <c r="F18" s="2" t="n">
        <v>1</v>
      </c>
    </row>
    <row r="19" ht="34" customHeight="1">
      <c r="A19" s="2" t="n">
        <v>18</v>
      </c>
      <c r="B19" s="2" t="inlineStr">
        <is>
          <t>M6</t>
        </is>
      </c>
      <c r="C19" s="2" t="inlineStr">
        <is>
          <t>Why does MAPE fail near zero and MASE not?</t>
        </is>
      </c>
      <c r="D19" s="3" t="inlineStr">
        <is>
          <t>MAPE's denominator goes to zero and the percentage explodes; MASE divides by a fixed in-sample baseline MAE.</t>
        </is>
      </c>
      <c r="E19" s="2" t="inlineStr">
        <is>
          <t>Analyse</t>
        </is>
      </c>
      <c r="F19" s="2" t="n">
        <v>1</v>
      </c>
    </row>
    <row r="20" ht="34" customHeight="1">
      <c r="A20" s="2" t="n">
        <v>19</v>
      </c>
      <c r="B20" s="2" t="inlineStr">
        <is>
          <t>M6</t>
        </is>
      </c>
      <c r="C20" s="2" t="inlineStr">
        <is>
          <t>A non-significant Diebold-Mariano test tells you to do what?</t>
        </is>
      </c>
      <c r="D20" s="3" t="inlineStr">
        <is>
          <t>Ship the simpler or cheaper model — the accuracy gap is noise you cannot distinguish.</t>
        </is>
      </c>
      <c r="E20" s="2" t="inlineStr">
        <is>
          <t>Evaluate</t>
        </is>
      </c>
      <c r="F20" s="2" t="n">
        <v>1</v>
      </c>
    </row>
    <row r="21" ht="34" customHeight="1">
      <c r="A21" s="2" t="n">
        <v>20</v>
      </c>
      <c r="B21" s="2" t="inlineStr">
        <is>
          <t>M7</t>
        </is>
      </c>
      <c r="C21" s="2" t="inlineStr">
        <is>
          <t>Marginal versus conditional coverage — why can a model be safe on one and dangerous on the other?</t>
        </is>
      </c>
      <c r="D21" s="3" t="inlineStr">
        <is>
          <t>90% on average can hide roughly 85% on the high-demand afternoons that are the only hours reserve is actually sized for.</t>
        </is>
      </c>
      <c r="E21" s="2" t="inlineStr">
        <is>
          <t>Evaluate</t>
        </is>
      </c>
      <c r="F2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0" customWidth="1" min="3" max="3"/>
    <col width="8" customWidth="1" min="4" max="4"/>
    <col width="60" customWidth="1" min="5" max="5"/>
  </cols>
  <sheetData>
    <row r="1" ht="28" customHeight="1">
      <c r="A1" s="4" t="inlineStr">
        <is>
          <t>#</t>
        </is>
      </c>
      <c r="B1" s="4" t="inlineStr">
        <is>
          <t>Module</t>
        </is>
      </c>
      <c r="C1" s="4" t="inlineStr">
        <is>
          <t>Question</t>
        </is>
      </c>
      <c r="D1" s="4" t="inlineStr">
        <is>
          <t>Marks</t>
        </is>
      </c>
      <c r="E1" s="4" t="inlineStr">
        <is>
          <t>Your answer</t>
        </is>
      </c>
    </row>
    <row r="2" ht="32" customHeight="1">
      <c r="A2" s="2" t="n">
        <v>1</v>
      </c>
      <c r="B2" s="2" t="inlineStr">
        <is>
          <t>M1</t>
        </is>
      </c>
      <c r="C2" s="2" t="inlineStr">
        <is>
          <t>Why can't you shuffle a time series before splitting?</t>
        </is>
      </c>
      <c r="D2" s="2" t="n">
        <v>1</v>
      </c>
      <c r="E2" s="2" t="inlineStr"/>
    </row>
    <row r="3" ht="32" customHeight="1">
      <c r="A3" s="2" t="n">
        <v>2</v>
      </c>
      <c r="B3" s="2" t="inlineStr">
        <is>
          <t>M1</t>
        </is>
      </c>
      <c r="C3" s="2" t="inlineStr">
        <is>
          <t>What does `asfreq("h")` do that `parse_dates` alone does not?</t>
        </is>
      </c>
      <c r="D3" s="2" t="n">
        <v>1</v>
      </c>
      <c r="E3" s="2" t="inlineStr"/>
    </row>
    <row r="4" ht="32" customHeight="1">
      <c r="A4" s="2" t="n">
        <v>3</v>
      </c>
      <c r="B4" s="2" t="inlineStr">
        <is>
          <t>M1</t>
        </is>
      </c>
      <c r="C4" s="2" t="inlineStr">
        <is>
          <t>Additive or multiplicative — which for a seasonal swing that grows with the level?</t>
        </is>
      </c>
      <c r="D4" s="2" t="n">
        <v>1</v>
      </c>
      <c r="E4" s="2" t="inlineStr"/>
    </row>
    <row r="5" ht="32" customHeight="1">
      <c r="A5" s="2" t="n">
        <v>4</v>
      </c>
      <c r="B5" s="2" t="inlineStr">
        <is>
          <t>M2</t>
        </is>
      </c>
      <c r="C5" s="2" t="inlineStr">
        <is>
          <t>ADF p = 0.01 and KPSS p = 0.01 — what is the reconciled verdict?</t>
        </is>
      </c>
      <c r="D5" s="2" t="n">
        <v>1</v>
      </c>
      <c r="E5" s="2" t="inlineStr"/>
    </row>
    <row r="6" ht="32" customHeight="1">
      <c r="A6" s="2" t="n">
        <v>5</v>
      </c>
      <c r="B6" s="2" t="inlineStr">
        <is>
          <t>M2</t>
        </is>
      </c>
      <c r="C6" s="2" t="inlineStr">
        <is>
          <t>For seasonal data, seasonal or regular differencing first?</t>
        </is>
      </c>
      <c r="D6" s="2" t="n">
        <v>1</v>
      </c>
      <c r="E6" s="2" t="inlineStr"/>
    </row>
    <row r="7" ht="32" customHeight="1">
      <c r="A7" s="2" t="n">
        <v>6</v>
      </c>
      <c r="B7" s="2" t="inlineStr">
        <is>
          <t>M2</t>
        </is>
      </c>
      <c r="C7" s="2" t="inlineStr">
        <is>
          <t>ACF tails off, PACF cuts off after lag 2 — model and order?</t>
        </is>
      </c>
      <c r="D7" s="2" t="n">
        <v>1</v>
      </c>
      <c r="E7" s="2" t="inlineStr"/>
    </row>
    <row r="8" ht="32" customHeight="1">
      <c r="A8" s="2" t="n">
        <v>7</v>
      </c>
      <c r="B8" s="2" t="inlineStr">
        <is>
          <t>M3</t>
        </is>
      </c>
      <c r="C8" s="2" t="inlineStr">
        <is>
          <t>What is m in SARIMA(p,d,q)(P,D,Q)m for a daily cycle on hourly data?</t>
        </is>
      </c>
      <c r="D8" s="2" t="n">
        <v>1</v>
      </c>
      <c r="E8" s="2" t="inlineStr"/>
    </row>
    <row r="9" ht="32" customHeight="1">
      <c r="A9" s="2" t="n">
        <v>8</v>
      </c>
      <c r="B9" s="2" t="inlineStr">
        <is>
          <t>M3</t>
        </is>
      </c>
      <c r="C9" s="2" t="inlineStr">
        <is>
          <t>Why must SARIMAX exogenous regressors be known at forecast time?</t>
        </is>
      </c>
      <c r="D9" s="2" t="n">
        <v>1</v>
      </c>
      <c r="E9" s="2" t="inlineStr"/>
    </row>
    <row r="10" ht="32" customHeight="1">
      <c r="A10" s="2" t="n">
        <v>9</v>
      </c>
      <c r="B10" s="2" t="inlineStr">
        <is>
          <t>M3</t>
        </is>
      </c>
      <c r="C10" s="2" t="inlineStr">
        <is>
          <t>A Ljung-Box p-value below 0.05 on the residuals means what?</t>
        </is>
      </c>
      <c r="D10" s="2" t="n">
        <v>1</v>
      </c>
      <c r="E10" s="2" t="inlineStr"/>
    </row>
    <row r="11" ht="32" customHeight="1">
      <c r="A11" s="2" t="n">
        <v>10</v>
      </c>
      <c r="B11" s="2" t="inlineStr">
        <is>
          <t>M4</t>
        </is>
      </c>
      <c r="C11" s="2" t="inlineStr">
        <is>
          <t>Why can a gradient-boosted tree never forecast a record-high demand?</t>
        </is>
      </c>
      <c r="D11" s="2" t="n">
        <v>1</v>
      </c>
      <c r="E11" s="2" t="inlineStr"/>
    </row>
    <row r="12" ht="32" customHeight="1">
      <c r="A12" s="2" t="n">
        <v>11</v>
      </c>
      <c r="B12" s="2" t="inlineStr">
        <is>
          <t>M4</t>
        </is>
      </c>
      <c r="C12" s="2" t="inlineStr">
        <is>
          <t>What does `.shift(1)` before a rolling feature prevent?</t>
        </is>
      </c>
      <c r="D12" s="2" t="n">
        <v>1</v>
      </c>
      <c r="E12" s="2" t="inlineStr"/>
    </row>
    <row r="13" ht="32" customHeight="1">
      <c r="A13" s="2" t="n">
        <v>12</v>
      </c>
      <c r="B13" s="2" t="inlineStr">
        <is>
          <t>M5</t>
        </is>
      </c>
      <c r="C13" s="2" t="inlineStr">
        <is>
          <t>Prediction interval or confidence interval for a future observation?</t>
        </is>
      </c>
      <c r="D13" s="2" t="n">
        <v>1</v>
      </c>
      <c r="E13" s="2" t="inlineStr"/>
    </row>
    <row r="14" ht="32" customHeight="1">
      <c r="A14" s="2" t="n">
        <v>13</v>
      </c>
      <c r="B14" s="2" t="inlineStr">
        <is>
          <t>M5</t>
        </is>
      </c>
      <c r="C14" s="2" t="inlineStr">
        <is>
          <t>Minimising the pinball loss at tau = 0.9 recovers what?</t>
        </is>
      </c>
      <c r="D14" s="2" t="n">
        <v>1</v>
      </c>
      <c r="E14" s="2" t="inlineStr"/>
    </row>
    <row r="15" ht="32" customHeight="1">
      <c r="A15" s="2" t="n">
        <v>14</v>
      </c>
      <c r="B15" s="2" t="inlineStr">
        <is>
          <t>M5</t>
        </is>
      </c>
      <c r="C15" s="2" t="inlineStr">
        <is>
          <t>What does split-conformal guarantee, and under what assumption?</t>
        </is>
      </c>
      <c r="D15" s="2" t="n">
        <v>1</v>
      </c>
      <c r="E15" s="2" t="inlineStr"/>
    </row>
    <row r="16" ht="32" customHeight="1">
      <c r="A16" s="2" t="n">
        <v>15</v>
      </c>
      <c r="B16" s="2" t="inlineStr">
        <is>
          <t>M5</t>
        </is>
      </c>
      <c r="C16" s="2" t="inlineStr">
        <is>
          <t>Two intervals both cover 90% — which one ships?</t>
        </is>
      </c>
      <c r="D16" s="2" t="n">
        <v>1</v>
      </c>
      <c r="E16" s="2" t="inlineStr"/>
    </row>
    <row r="17" ht="32" customHeight="1">
      <c r="A17" s="2" t="n">
        <v>16</v>
      </c>
      <c r="B17" s="2" t="inlineStr">
        <is>
          <t>M6</t>
        </is>
      </c>
      <c r="C17" s="2" t="inlineStr">
        <is>
          <t>Expanding versus sliding window — which one forgets old data?</t>
        </is>
      </c>
      <c r="D17" s="2" t="n">
        <v>1</v>
      </c>
      <c r="E17" s="2" t="inlineStr"/>
    </row>
    <row r="18" ht="32" customHeight="1">
      <c r="A18" s="2" t="n">
        <v>17</v>
      </c>
      <c r="B18" s="2" t="inlineStr">
        <is>
          <t>M6</t>
        </is>
      </c>
      <c r="C18" s="2" t="inlineStr">
        <is>
          <t>What does MASE &lt; 1 mean?</t>
        </is>
      </c>
      <c r="D18" s="2" t="n">
        <v>1</v>
      </c>
      <c r="E18" s="2" t="inlineStr"/>
    </row>
    <row r="19" ht="32" customHeight="1">
      <c r="A19" s="2" t="n">
        <v>18</v>
      </c>
      <c r="B19" s="2" t="inlineStr">
        <is>
          <t>M6</t>
        </is>
      </c>
      <c r="C19" s="2" t="inlineStr">
        <is>
          <t>Why does MAPE fail near zero and MASE not?</t>
        </is>
      </c>
      <c r="D19" s="2" t="n">
        <v>1</v>
      </c>
      <c r="E19" s="2" t="inlineStr"/>
    </row>
    <row r="20" ht="32" customHeight="1">
      <c r="A20" s="2" t="n">
        <v>19</v>
      </c>
      <c r="B20" s="2" t="inlineStr">
        <is>
          <t>M6</t>
        </is>
      </c>
      <c r="C20" s="2" t="inlineStr">
        <is>
          <t>A non-significant Diebold-Mariano test tells you to do what?</t>
        </is>
      </c>
      <c r="D20" s="2" t="n">
        <v>1</v>
      </c>
      <c r="E20" s="2" t="inlineStr"/>
    </row>
    <row r="21" ht="32" customHeight="1">
      <c r="A21" s="2" t="n">
        <v>20</v>
      </c>
      <c r="B21" s="2" t="inlineStr">
        <is>
          <t>M7</t>
        </is>
      </c>
      <c r="C21" s="2" t="inlineStr">
        <is>
          <t>Marginal versus conditional coverage — why can a model be safe on one and dangerous on the other?</t>
        </is>
      </c>
      <c r="D21" s="2" t="n">
        <v>1</v>
      </c>
      <c r="E2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58" customWidth="1" min="3" max="3"/>
    <col width="50" customWidth="1" min="4" max="4"/>
    <col width="54" customWidth="1" min="5" max="5"/>
  </cols>
  <sheetData>
    <row r="1" ht="28" customHeight="1">
      <c r="A1" s="1" t="inlineStr">
        <is>
          <t>Criterion</t>
        </is>
      </c>
      <c r="B1" s="1" t="inlineStr">
        <is>
          <t>Weight</t>
        </is>
      </c>
      <c r="C1" s="1" t="inlineStr">
        <is>
          <t>90-100% band</t>
        </is>
      </c>
      <c r="D1" s="1" t="inlineStr">
        <is>
          <t>70-89% band</t>
        </is>
      </c>
      <c r="E1" s="1" t="inlineStr">
        <is>
          <t>Below 70% band</t>
        </is>
      </c>
    </row>
    <row r="2" ht="52" customHeight="1">
      <c r="A2" s="2" t="inlineStr">
        <is>
          <t>Data, index &amp; decomposition</t>
        </is>
      </c>
      <c r="B2" s="2" t="n">
        <v>12</v>
      </c>
      <c r="C2" s="2" t="inlineStr">
        <is>
          <t>Correct tz-aware frequency, explicit gap policy, MSTL with justified strengths and a justified additive/multiplicative choice</t>
        </is>
      </c>
      <c r="D2" s="2" t="inlineStr">
        <is>
          <t>Minor gaps: implicit frequency, or an unjustified transform choice</t>
        </is>
      </c>
      <c r="E2" s="2" t="inlineStr">
        <is>
          <t>Broken index, silent gaps, or the wrong `period`</t>
        </is>
      </c>
    </row>
    <row r="3" ht="52" customHeight="1">
      <c r="A3" s="2" t="inlineStr">
        <is>
          <t>Stationarity &amp; modelling rigour</t>
        </is>
      </c>
      <c r="B3" s="2" t="n">
        <v>15</v>
      </c>
      <c r="C3" s="2" t="inlineStr">
        <is>
          <t>ADF + KPSS reconciled, minimal differencing, at least three families all leak-safe and diagnosed</t>
        </is>
      </c>
      <c r="D3" s="2" t="inlineStr">
        <is>
          <t>One family thin, or residuals left undiagnosed</t>
        </is>
      </c>
      <c r="E3" s="2" t="inlineStr">
        <is>
          <t>Leakage present, no baseline, or AIC compared across different d</t>
        </is>
      </c>
    </row>
    <row r="4" ht="52" customHeight="1">
      <c r="A4" s="2" t="inlineStr">
        <is>
          <t>Feature engineering (leakage-safe)</t>
        </is>
      </c>
      <c r="B4" s="2" t="n">
        <v>15</v>
      </c>
      <c r="C4" s="2" t="inlineStr">
        <is>
          <t>assert_no_leakage PASS; lags chosen from the ACF; .shift(1) rolling; Fri-Sat weekend and Hijri calendar correct</t>
        </is>
      </c>
      <c r="D4" s="2" t="inlineStr">
        <is>
          <t>One subtle leak caught late, or the weekend miscoded</t>
        </is>
      </c>
      <c r="E4" s="2" t="inlineStr">
        <is>
          <t>A shuffle split or a centred window survives; future exogenous values used</t>
        </is>
      </c>
    </row>
    <row r="5" ht="52" customHeight="1">
      <c r="A5" s="2" t="inlineStr">
        <is>
          <t>Probabilistic calibration</t>
        </is>
      </c>
      <c r="B5" s="2" t="n">
        <v>15</v>
      </c>
      <c r="C5" s="2" t="inlineStr">
        <is>
          <t>Coverage 0.88-0.92 marginal AND conditional; CQR justified; sharpest interval at the target coverage</t>
        </is>
      </c>
      <c r="D5" s="2" t="inlineStr">
        <is>
          <t>Marginal coverage in band but the conditional gap is unaddressed</t>
        </is>
      </c>
      <c r="E5" s="2" t="inlineStr">
        <is>
          <t>A confidence interval where a prediction interval is required; coverage off target</t>
        </is>
      </c>
    </row>
    <row r="6" ht="52" customHeight="1">
      <c r="A6" s="2" t="inlineStr">
        <is>
          <t>Backtesting validity</t>
        </is>
      </c>
      <c r="B6" s="2" t="n">
        <v>18</v>
      </c>
      <c r="C6" s="2" t="inlineStr">
        <is>
          <t>At least 50 origins, training data ending at or before each origin, MASE + coverage + pinball + per-origin breakdown</t>
        </is>
      </c>
      <c r="D6" s="2" t="inlineStr">
        <is>
          <t>Fewer origins, or the probabilistic metrics are missing</t>
        </is>
      </c>
      <c r="E6" s="2" t="inlineStr">
        <is>
          <t>Fit-once or in-sample scoring; a single split; no baseline</t>
        </is>
      </c>
    </row>
    <row r="7" ht="52" customHeight="1">
      <c r="A7" s="2" t="inlineStr">
        <is>
          <t>Model selection &amp; evidence</t>
        </is>
      </c>
      <c r="B7" s="2" t="n">
        <v>15</v>
      </c>
      <c r="C7" s="2" t="inlineStr">
        <is>
          <t>A DM-significant choice with constraints and weights stated, plus flip-conditions, a fallback and a monitoring contract</t>
        </is>
      </c>
      <c r="D7" s="2" t="inlineStr">
        <is>
          <t>The choice is reasonable but the evidence or the stated limits are thin</t>
        </is>
      </c>
      <c r="E7" s="2" t="inlineStr">
        <is>
          <t>Lowest-MAE pick with no significance test and no stated limits</t>
        </is>
      </c>
    </row>
    <row r="8" ht="52" customHeight="1">
      <c r="A8" s="2" t="inlineStr">
        <is>
          <t>Report, brief &amp; reproducibility</t>
        </is>
      </c>
      <c r="B8" s="2" t="n">
        <v>10</v>
      </c>
      <c r="C8" s="2" t="inlineStr">
        <is>
          <t>One-command reproduction; a decision-language brief; an auditor-ready report</t>
        </is>
      </c>
      <c r="D8" s="2" t="inlineStr">
        <is>
          <t>Runs with some fiddling; the brief is partly jargon</t>
        </is>
      </c>
      <c r="E8" s="2" t="inlineStr">
        <is>
          <t>Irreproducible; jargon-only; the numbers cannot be regenerated</t>
        </is>
      </c>
    </row>
    <row r="9" ht="52" customHeight="1">
      <c r="A9" s="5" t="inlineStr">
        <is>
          <t>TOTAL</t>
        </is>
      </c>
      <c r="B9" s="5" t="n">
        <v>100</v>
      </c>
      <c r="C9" s="5" t="inlineStr">
        <is>
          <t>Pass &gt;= 70 · Distinction &gt;= 90</t>
        </is>
      </c>
      <c r="D9" s="5" t="inlineStr">
        <is>
          <t>One chosen extension adds up to +5 (capped at 100), and only if mandatory scope scores &gt;= 80</t>
        </is>
      </c>
      <c r="E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8" customWidth="1" min="10" max="10"/>
    <col width="14" customWidth="1" min="11" max="11"/>
    <col width="14" customWidth="1" min="12" max="12"/>
  </cols>
  <sheetData>
    <row r="1" ht="28" customHeight="1">
      <c r="A1" s="6" t="inlineStr">
        <is>
          <t>Participant</t>
        </is>
      </c>
      <c r="B1" s="6" t="inlineStr">
        <is>
          <t>Data, index &amp; decomposition /12</t>
        </is>
      </c>
      <c r="C1" s="6" t="inlineStr">
        <is>
          <t>Stationarity &amp; modelling rigour /15</t>
        </is>
      </c>
      <c r="D1" s="6" t="inlineStr">
        <is>
          <t>Feature engineering (leakage-safe) /15</t>
        </is>
      </c>
      <c r="E1" s="6" t="inlineStr">
        <is>
          <t>Probabilistic calibration /15</t>
        </is>
      </c>
      <c r="F1" s="6" t="inlineStr">
        <is>
          <t>Backtesting validity /18</t>
        </is>
      </c>
      <c r="G1" s="6" t="inlineStr">
        <is>
          <t>Model selection &amp; evidence /15</t>
        </is>
      </c>
      <c r="H1" s="6" t="inlineStr">
        <is>
          <t>Report, brief &amp; reproducibility /10</t>
        </is>
      </c>
      <c r="I1" s="6" t="inlineStr">
        <is>
          <t>Mandatory subtotal</t>
        </is>
      </c>
      <c r="J1" s="6" t="inlineStr">
        <is>
          <t>Extension bonus (0-5)</t>
        </is>
      </c>
      <c r="K1" s="6" t="inlineStr">
        <is>
          <t>TOTAL /100</t>
        </is>
      </c>
      <c r="L1" s="6" t="inlineStr">
        <is>
          <t>Outcome</t>
        </is>
      </c>
    </row>
    <row r="2">
      <c r="A2" s="7" t="inlineStr">
        <is>
          <t>(name 1)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8">
        <f>SUM(B2:H2)</f>
        <v/>
      </c>
      <c r="J2" s="7" t="inlineStr"/>
      <c r="K2" s="8">
        <f>MIN(100, I2 + IF(I2&gt;=80, J2, 0))</f>
        <v/>
      </c>
      <c r="L2" s="8">
        <f>IF(K2="","",IF(K2&gt;=90,"Distinction",IF(K2&gt;=70,"Pass","Not yet")))</f>
        <v/>
      </c>
    </row>
    <row r="3">
      <c r="A3" s="7" t="inlineStr">
        <is>
          <t>(name 2)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8">
        <f>SUM(B3:H3)</f>
        <v/>
      </c>
      <c r="J3" s="7" t="inlineStr"/>
      <c r="K3" s="8">
        <f>MIN(100, I3 + IF(I3&gt;=80, J3, 0))</f>
        <v/>
      </c>
      <c r="L3" s="8">
        <f>IF(K3="","",IF(K3&gt;=90,"Distinction",IF(K3&gt;=70,"Pass","Not yet")))</f>
        <v/>
      </c>
    </row>
    <row r="4">
      <c r="A4" s="7" t="inlineStr">
        <is>
          <t>(name 3)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8">
        <f>SUM(B4:H4)</f>
        <v/>
      </c>
      <c r="J4" s="7" t="inlineStr"/>
      <c r="K4" s="8">
        <f>MIN(100, I4 + IF(I4&gt;=80, J4, 0))</f>
        <v/>
      </c>
      <c r="L4" s="8">
        <f>IF(K4="","",IF(K4&gt;=90,"Distinction",IF(K4&gt;=70,"Pass","Not yet")))</f>
        <v/>
      </c>
    </row>
    <row r="5">
      <c r="A5" s="7" t="inlineStr">
        <is>
          <t>(name 4)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8">
        <f>SUM(B5:H5)</f>
        <v/>
      </c>
      <c r="J5" s="7" t="inlineStr"/>
      <c r="K5" s="8">
        <f>MIN(100, I5 + IF(I5&gt;=80, J5, 0))</f>
        <v/>
      </c>
      <c r="L5" s="8">
        <f>IF(K5="","",IF(K5&gt;=90,"Distinction",IF(K5&gt;=70,"Pass","Not yet")))</f>
        <v/>
      </c>
    </row>
    <row r="6">
      <c r="A6" s="7" t="inlineStr">
        <is>
          <t>(name 5)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8">
        <f>SUM(B6:H6)</f>
        <v/>
      </c>
      <c r="J6" s="7" t="inlineStr"/>
      <c r="K6" s="8">
        <f>MIN(100, I6 + IF(I6&gt;=80, J6, 0))</f>
        <v/>
      </c>
      <c r="L6" s="8">
        <f>IF(K6="","",IF(K6&gt;=90,"Distinction",IF(K6&gt;=70,"Pass","Not yet")))</f>
        <v/>
      </c>
    </row>
    <row r="7">
      <c r="A7" s="7" t="inlineStr">
        <is>
          <t>(name 6)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8">
        <f>SUM(B7:H7)</f>
        <v/>
      </c>
      <c r="J7" s="7" t="inlineStr"/>
      <c r="K7" s="8">
        <f>MIN(100, I7 + IF(I7&gt;=80, J7, 0))</f>
        <v/>
      </c>
      <c r="L7" s="8">
        <f>IF(K7="","",IF(K7&gt;=90,"Distinction",IF(K7&gt;=70,"Pass","Not yet")))</f>
        <v/>
      </c>
    </row>
    <row r="8">
      <c r="A8" s="7" t="inlineStr">
        <is>
          <t>(name 7)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8">
        <f>SUM(B8:H8)</f>
        <v/>
      </c>
      <c r="J8" s="7" t="inlineStr"/>
      <c r="K8" s="8">
        <f>MIN(100, I8 + IF(I8&gt;=80, J8, 0))</f>
        <v/>
      </c>
      <c r="L8" s="8">
        <f>IF(K8="","",IF(K8&gt;=90,"Distinction",IF(K8&gt;=70,"Pass","Not yet")))</f>
        <v/>
      </c>
    </row>
    <row r="9">
      <c r="A9" s="7" t="inlineStr">
        <is>
          <t>(name 8)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8">
        <f>SUM(B9:H9)</f>
        <v/>
      </c>
      <c r="J9" s="7" t="inlineStr"/>
      <c r="K9" s="8">
        <f>MIN(100, I9 + IF(I9&gt;=80, J9, 0))</f>
        <v/>
      </c>
      <c r="L9" s="8">
        <f>IF(K9="","",IF(K9&gt;=90,"Distinction",IF(K9&gt;=70,"Pass","Not yet")))</f>
        <v/>
      </c>
    </row>
    <row r="10">
      <c r="A10" s="7" t="inlineStr">
        <is>
          <t>(name 9)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8">
        <f>SUM(B10:H10)</f>
        <v/>
      </c>
      <c r="J10" s="7" t="inlineStr"/>
      <c r="K10" s="8">
        <f>MIN(100, I10 + IF(I10&gt;=80, J10, 0))</f>
        <v/>
      </c>
      <c r="L10" s="8">
        <f>IF(K10="","",IF(K10&gt;=90,"Distinction",IF(K10&gt;=70,"Pass","Not yet")))</f>
        <v/>
      </c>
    </row>
    <row r="11">
      <c r="A11" s="7" t="inlineStr">
        <is>
          <t>(name 10)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8">
        <f>SUM(B11:H11)</f>
        <v/>
      </c>
      <c r="J11" s="7" t="inlineStr"/>
      <c r="K11" s="8">
        <f>MIN(100, I11 + IF(I11&gt;=80, J11, 0))</f>
        <v/>
      </c>
      <c r="L11" s="8">
        <f>IF(K11="","",IF(K11&gt;=90,"Distinction",IF(K11&gt;=70,"Pass","Not yet")))</f>
        <v/>
      </c>
    </row>
    <row r="12">
      <c r="A12" s="7" t="inlineStr">
        <is>
          <t>(name 11)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8">
        <f>SUM(B12:H12)</f>
        <v/>
      </c>
      <c r="J12" s="7" t="inlineStr"/>
      <c r="K12" s="8">
        <f>MIN(100, I12 + IF(I12&gt;=80, J12, 0))</f>
        <v/>
      </c>
      <c r="L12" s="8">
        <f>IF(K12="","",IF(K12&gt;=90,"Distinction",IF(K12&gt;=70,"Pass","Not yet")))</f>
        <v/>
      </c>
    </row>
    <row r="13">
      <c r="A13" s="7" t="inlineStr">
        <is>
          <t>(name 12)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8">
        <f>SUM(B13:H13)</f>
        <v/>
      </c>
      <c r="J13" s="7" t="inlineStr"/>
      <c r="K13" s="8">
        <f>MIN(100, I13 + IF(I13&gt;=80, J13, 0))</f>
        <v/>
      </c>
      <c r="L13" s="8">
        <f>IF(K13="","",IF(K13&gt;=90,"Distinction",IF(K13&gt;=70,"Pass","Not yet")))</f>
        <v/>
      </c>
    </row>
    <row r="15">
      <c r="A15" s="9" t="inlineStr">
        <is>
          <t>Bonus applies only when the mandatory subtotal is at least 80. Badge issuance also requires the overall course mark &gt;= 70 and zero academic-integrity flags.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70" customWidth="1" min="3" max="3"/>
  </cols>
  <sheetData>
    <row r="1" ht="28" customHeight="1">
      <c r="A1" s="1" t="inlineStr">
        <is>
          <t>Component</t>
        </is>
      </c>
      <c r="B1" s="1" t="inlineStr">
        <is>
          <t>Weight %</t>
        </is>
      </c>
      <c r="C1" s="1" t="inlineStr">
        <is>
          <t>Evidence</t>
        </is>
      </c>
    </row>
    <row r="2">
      <c r="A2" s="10" t="inlineStr">
        <is>
          <t>Lab completion (7 labs)</t>
        </is>
      </c>
      <c r="B2" s="10" t="n">
        <v>30</v>
      </c>
      <c r="C2" s="10" t="inlineStr">
        <is>
          <t>Checkpoint commits plus the expected outputs for each lab</t>
        </is>
      </c>
    </row>
    <row r="3">
      <c r="A3" s="10" t="inlineStr">
        <is>
          <t>PA-1 (Day 1) + PA-2 (Day 2)</t>
        </is>
      </c>
      <c r="B3" s="10" t="n">
        <v>20</v>
      </c>
      <c r="C3" s="10" t="inlineStr">
        <is>
          <t>Artefacts plus written diagnosis notes</t>
        </is>
      </c>
    </row>
    <row r="4">
      <c r="A4" s="10" t="inlineStr">
        <is>
          <t>Quiz (10 of the 20 questions)</t>
        </is>
      </c>
      <c r="B4" s="10" t="n">
        <v>10</v>
      </c>
      <c r="C4" s="10" t="inlineStr">
        <is>
          <t>15 minutes, closed book</t>
        </is>
      </c>
    </row>
    <row r="5">
      <c r="A5" s="10" t="inlineStr">
        <is>
          <t>Capstone</t>
        </is>
      </c>
      <c r="B5" s="10" t="n">
        <v>40</v>
      </c>
      <c r="C5" s="10" t="inlineStr">
        <is>
          <t>The rubric above, graded repository-first</t>
        </is>
      </c>
    </row>
    <row r="6">
      <c r="A6" s="10" t="inlineStr">
        <is>
          <t>TOTAL</t>
        </is>
      </c>
      <c r="B6" s="10" t="n">
        <v>100</v>
      </c>
      <c r="C6" s="10" t="inlineStr">
        <is>
          <t>Pass &gt;= 70 overall AND capstone &gt;= 70 AND zero integrity flags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30" customWidth="1" min="4" max="4"/>
    <col width="10" customWidth="1" min="5" max="5"/>
    <col width="72" customWidth="1" min="6" max="6"/>
  </cols>
  <sheetData>
    <row r="1" ht="28" customHeight="1">
      <c r="A1" s="4" t="inlineStr">
        <is>
          <t>Assessment</t>
        </is>
      </c>
      <c r="B1" s="4" t="inlineStr">
        <is>
          <t>When</t>
        </is>
      </c>
      <c r="C1" s="4" t="inlineStr">
        <is>
          <t>Duration</t>
        </is>
      </c>
      <c r="D1" s="4" t="inlineStr">
        <is>
          <t>Criterion</t>
        </is>
      </c>
      <c r="E1" s="4" t="inlineStr">
        <is>
          <t>Weight %</t>
        </is>
      </c>
      <c r="F1" s="4" t="inlineStr">
        <is>
          <t>Evidence of full marks</t>
        </is>
      </c>
    </row>
    <row r="2" ht="34" customHeight="1">
      <c r="A2" s="2" t="inlineStr">
        <is>
          <t>PA-1</t>
        </is>
      </c>
      <c r="B2" s="2" t="inlineStr">
        <is>
          <t>Day 1</t>
        </is>
      </c>
      <c r="C2" s="2" t="inlineStr">
        <is>
          <t>30 min</t>
        </is>
      </c>
      <c r="D2" s="2" t="inlineStr">
        <is>
          <t>Index correctness</t>
        </is>
      </c>
      <c r="E2" s="2" t="n">
        <v>40</v>
      </c>
      <c r="F2" s="2" t="inlineStr">
        <is>
          <t>Monotonic, unique, tz-aware, explicit frequency; row count before and after reported</t>
        </is>
      </c>
    </row>
    <row r="3" ht="34" customHeight="1">
      <c r="A3" s="2" t="inlineStr">
        <is>
          <t>PA-1</t>
        </is>
      </c>
      <c r="B3" s="2" t="inlineStr">
        <is>
          <t>Day 1</t>
        </is>
      </c>
      <c r="C3" s="2" t="inlineStr">
        <is>
          <t>30 min</t>
        </is>
      </c>
      <c r="D3" s="2" t="inlineStr">
        <is>
          <t>Gap policy</t>
        </is>
      </c>
      <c r="E3" s="2" t="n">
        <v>30</v>
      </c>
      <c r="F3" s="2" t="inlineStr">
        <is>
          <t>Every missing hour surfaced; short gaps imputed and flagged; long gaps left flagged, not silently filled</t>
        </is>
      </c>
    </row>
    <row r="4" ht="34" customHeight="1">
      <c r="A4" s="2" t="inlineStr">
        <is>
          <t>PA-1</t>
        </is>
      </c>
      <c r="B4" s="2" t="inlineStr">
        <is>
          <t>Day 1</t>
        </is>
      </c>
      <c r="C4" s="2" t="inlineStr">
        <is>
          <t>30 min</t>
        </is>
      </c>
      <c r="D4" s="2" t="inlineStr">
        <is>
          <t>Decomposition + strengths</t>
        </is>
      </c>
      <c r="E4" s="2" t="n">
        <v>30</v>
      </c>
      <c r="F4" s="2" t="inlineStr">
        <is>
          <t>Correct period; MSTL panel; daily and weekly strengths reported and read aloud correctly</t>
        </is>
      </c>
    </row>
    <row r="5" ht="34" customHeight="1">
      <c r="A5" s="2" t="inlineStr">
        <is>
          <t>PA-2</t>
        </is>
      </c>
      <c r="B5" s="2" t="inlineStr">
        <is>
          <t>Day 2</t>
        </is>
      </c>
      <c r="C5" s="2" t="inlineStr">
        <is>
          <t>30 min</t>
        </is>
      </c>
      <c r="D5" s="2" t="inlineStr">
        <is>
          <t>Leak diagnosis notes</t>
        </is>
      </c>
      <c r="E5" s="2" t="n">
        <v>40</v>
      </c>
      <c r="F5" s="2" t="inlineStr">
        <is>
          <t>Both planted leaks named precisely — the shuffle split and the centred rolling window</t>
        </is>
      </c>
    </row>
    <row r="6" ht="34" customHeight="1">
      <c r="A6" s="2" t="inlineStr">
        <is>
          <t>PA-2</t>
        </is>
      </c>
      <c r="B6" s="2" t="inlineStr">
        <is>
          <t>Day 2</t>
        </is>
      </c>
      <c r="C6" s="2" t="inlineStr">
        <is>
          <t>30 min</t>
        </is>
      </c>
      <c r="D6" s="2" t="inlineStr">
        <is>
          <t>Correct fixes</t>
        </is>
      </c>
      <c r="E6" s="2" t="n">
        <v>40</v>
      </c>
      <c r="F6" s="2" t="inlineStr">
        <is>
          <t>Time-ordered split; .shift(1) before rolling with center=False; assert_no_leakage passes</t>
        </is>
      </c>
    </row>
    <row r="7" ht="34" customHeight="1">
      <c r="A7" s="2" t="inlineStr">
        <is>
          <t>PA-2</t>
        </is>
      </c>
      <c r="B7" s="2" t="inlineStr">
        <is>
          <t>Day 2</t>
        </is>
      </c>
      <c r="C7" s="2" t="inlineStr">
        <is>
          <t>30 min</t>
        </is>
      </c>
      <c r="D7" s="2" t="inlineStr">
        <is>
          <t>Honest re-measurement</t>
        </is>
      </c>
      <c r="E7" s="2" t="n">
        <v>20</v>
      </c>
      <c r="F7" s="2" t="inlineStr">
        <is>
          <t>The post-fix accuracy is reported without excuse, and the gap to the leaked number is quantified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32" customWidth="1" min="3" max="3"/>
    <col width="34" customWidth="1" min="4" max="4"/>
    <col width="18" customWidth="1" min="5" max="5"/>
    <col width="20" customWidth="1" min="6" max="6"/>
  </cols>
  <sheetData>
    <row r="1" ht="28" customHeight="1">
      <c r="A1" s="6" t="inlineStr">
        <is>
          <t>Module</t>
        </is>
      </c>
      <c r="B1" s="6" t="inlineStr">
        <is>
          <t>Metric</t>
        </is>
      </c>
      <c r="C1" s="6" t="inlineStr">
        <is>
          <t>Target</t>
        </is>
      </c>
      <c r="D1" s="6" t="inlineStr">
        <is>
          <t>How measured</t>
        </is>
      </c>
      <c r="E1" s="6" t="inlineStr">
        <is>
          <t>Reference run</t>
        </is>
      </c>
      <c r="F1" s="6" t="inlineStr">
        <is>
          <t>YOUR RESULT</t>
        </is>
      </c>
    </row>
    <row r="2">
      <c r="A2" s="10" t="inlineStr">
        <is>
          <t>M1</t>
        </is>
      </c>
      <c r="B2" s="10" t="inlineStr">
        <is>
          <t>Materialised gaps identified</t>
        </is>
      </c>
      <c r="C2" s="10" t="inlineStr">
        <is>
          <t>100% of missing hours surfaced</t>
        </is>
      </c>
      <c r="D2" s="10" t="inlineStr">
        <is>
          <t>count of NaN after asfreq</t>
        </is>
      </c>
      <c r="E2" s="10" t="inlineStr"/>
      <c r="F2" s="11" t="inlineStr"/>
    </row>
    <row r="3">
      <c r="A3" s="10" t="inlineStr">
        <is>
          <t>M1</t>
        </is>
      </c>
      <c r="B3" s="10" t="inlineStr">
        <is>
          <t>Index correctness</t>
        </is>
      </c>
      <c r="C3" s="10" t="inlineStr">
        <is>
          <t>monotonic, unique, tz-aware, freq set</t>
        </is>
      </c>
      <c r="D3" s="10" t="inlineStr">
        <is>
          <t>df.index checks</t>
        </is>
      </c>
      <c r="E3" s="10" t="inlineStr"/>
      <c r="F3" s="11" t="inlineStr"/>
    </row>
    <row r="4">
      <c r="A4" s="10" t="inlineStr">
        <is>
          <t>M1</t>
        </is>
      </c>
      <c r="B4" s="10" t="inlineStr">
        <is>
          <t>Seasonal strength (daily)</t>
        </is>
      </c>
      <c r="C4" s="10" t="inlineStr">
        <is>
          <t>reported in [0,1]</t>
        </is>
      </c>
      <c r="D4" s="10" t="inlineStr">
        <is>
          <t>Hyndman strength formula</t>
        </is>
      </c>
      <c r="E4" s="10" t="inlineStr">
        <is>
          <t>0.97</t>
        </is>
      </c>
      <c r="F4" s="11" t="inlineStr"/>
    </row>
    <row r="5">
      <c r="A5" s="10" t="inlineStr">
        <is>
          <t>M1</t>
        </is>
      </c>
      <c r="B5" s="10" t="inlineStr">
        <is>
          <t>Seasonal strength (weekly)</t>
        </is>
      </c>
      <c r="C5" s="10" t="inlineStr">
        <is>
          <t>reported in [0,1]</t>
        </is>
      </c>
      <c r="D5" s="10" t="inlineStr">
        <is>
          <t>Hyndman strength formula</t>
        </is>
      </c>
      <c r="E5" s="10" t="inlineStr">
        <is>
          <t>0.61</t>
        </is>
      </c>
      <c r="F5" s="11" t="inlineStr"/>
    </row>
    <row r="6">
      <c r="A6" s="10" t="inlineStr">
        <is>
          <t>M2</t>
        </is>
      </c>
      <c r="B6" s="10" t="inlineStr">
        <is>
          <t>Stationarity achieved</t>
        </is>
      </c>
      <c r="C6" s="10" t="inlineStr">
        <is>
          <t>ADF p &lt; 0.05 and KPSS p &gt; 0.05</t>
        </is>
      </c>
      <c r="D6" s="10" t="inlineStr">
        <is>
          <t>stationarity_report verdict</t>
        </is>
      </c>
      <c r="E6" s="10" t="inlineStr">
        <is>
          <t>D=1, d=0</t>
        </is>
      </c>
      <c r="F6" s="11" t="inlineStr"/>
    </row>
    <row r="7">
      <c r="A7" s="10" t="inlineStr">
        <is>
          <t>M2</t>
        </is>
      </c>
      <c r="B7" s="10" t="inlineStr">
        <is>
          <t>Differencing minimality</t>
        </is>
      </c>
      <c r="C7" s="10" t="inlineStr">
        <is>
          <t>lowest (d,D) that passes</t>
        </is>
      </c>
      <c r="D7" s="10" t="inlineStr">
        <is>
          <t>lag-1 ACF not strongly negative</t>
        </is>
      </c>
      <c r="E7" s="10" t="inlineStr"/>
      <c r="F7" s="11" t="inlineStr"/>
    </row>
    <row r="8">
      <c r="A8" s="10" t="inlineStr">
        <is>
          <t>M3</t>
        </is>
      </c>
      <c r="B8" s="10" t="inlineStr">
        <is>
          <t>Residual white noise</t>
        </is>
      </c>
      <c r="C8" s="10" t="inlineStr">
        <is>
          <t>Ljung-Box p &gt; 0.05</t>
        </is>
      </c>
      <c r="D8" s="10" t="inlineStr">
        <is>
          <t>residual_diagnostics</t>
        </is>
      </c>
      <c r="E8" s="10" t="inlineStr">
        <is>
          <t>report honestly</t>
        </is>
      </c>
      <c r="F8" s="11" t="inlineStr"/>
    </row>
    <row r="9">
      <c r="A9" s="10" t="inlineStr">
        <is>
          <t>M3</t>
        </is>
      </c>
      <c r="B9" s="10" t="inlineStr">
        <is>
          <t>Day-ahead MAPE (daily peak)</t>
        </is>
      </c>
      <c r="C9" s="10" t="inlineStr">
        <is>
          <t>&lt;= 2.5%</t>
        </is>
      </c>
      <c r="D9" s="10" t="inlineStr">
        <is>
          <t>28-day hold-out</t>
        </is>
      </c>
      <c r="E9" s="10" t="inlineStr">
        <is>
          <t>2.05%</t>
        </is>
      </c>
      <c r="F9" s="11" t="inlineStr"/>
    </row>
    <row r="10">
      <c r="A10" s="10" t="inlineStr">
        <is>
          <t>M3</t>
        </is>
      </c>
      <c r="B10" s="10" t="inlineStr">
        <is>
          <t>Value of the temperature regressor</t>
        </is>
      </c>
      <c r="C10" s="10" t="inlineStr">
        <is>
          <t>MAE delta vs no-exog</t>
        </is>
      </c>
      <c r="D10" s="10" t="inlineStr">
        <is>
          <t>two fits compared</t>
        </is>
      </c>
      <c r="E10" s="10" t="inlineStr">
        <is>
          <t>20 MW</t>
        </is>
      </c>
      <c r="F10" s="11" t="inlineStr"/>
    </row>
    <row r="11">
      <c r="A11" s="10" t="inlineStr">
        <is>
          <t>M4</t>
        </is>
      </c>
      <c r="B11" s="10" t="inlineStr">
        <is>
          <t>Leakage check</t>
        </is>
      </c>
      <c r="C11" s="10" t="inlineStr">
        <is>
          <t>PASS, 0 future-referencing features</t>
        </is>
      </c>
      <c r="D11" s="10" t="inlineStr">
        <is>
          <t>assert_no_leakage</t>
        </is>
      </c>
      <c r="E11" s="10" t="inlineStr">
        <is>
          <t>PASS (44)</t>
        </is>
      </c>
      <c r="F11" s="11" t="inlineStr"/>
    </row>
    <row r="12">
      <c r="A12" s="10" t="inlineStr">
        <is>
          <t>M4</t>
        </is>
      </c>
      <c r="B12" s="10" t="inlineStr">
        <is>
          <t>Day-ahead hourly MASE</t>
        </is>
      </c>
      <c r="C12" s="10" t="inlineStr">
        <is>
          <t>&lt; 0.7</t>
        </is>
      </c>
      <c r="D12" s="10" t="inlineStr">
        <is>
          <t>rolling origins</t>
        </is>
      </c>
      <c r="E12" s="10" t="inlineStr">
        <is>
          <t>0.445</t>
        </is>
      </c>
      <c r="F12" s="11" t="inlineStr"/>
    </row>
    <row r="13">
      <c r="A13" s="10" t="inlineStr">
        <is>
          <t>M5</t>
        </is>
      </c>
      <c r="B13" s="10" t="inlineStr">
        <is>
          <t>Empirical coverage (marginal)</t>
        </is>
      </c>
      <c r="C13" s="10" t="inlineStr">
        <is>
          <t>0.88 - 0.92</t>
        </is>
      </c>
      <c r="D13" s="10" t="inlineStr">
        <is>
          <t>held-out window</t>
        </is>
      </c>
      <c r="E13" s="10" t="inlineStr">
        <is>
          <t>0.902</t>
        </is>
      </c>
      <c r="F13" s="11" t="inlineStr"/>
    </row>
    <row r="14">
      <c r="A14" s="10" t="inlineStr">
        <is>
          <t>M5</t>
        </is>
      </c>
      <c r="B14" s="10" t="inlineStr">
        <is>
          <t>Empirical coverage (peak hours)</t>
        </is>
      </c>
      <c r="C14" s="10" t="inlineStr">
        <is>
          <t>&gt; = 0.88</t>
        </is>
      </c>
      <c r="D14" s="10" t="inlineStr">
        <is>
          <t>conditional report</t>
        </is>
      </c>
      <c r="E14" s="10" t="inlineStr">
        <is>
          <t>0.845 — FLAG</t>
        </is>
      </c>
      <c r="F14" s="11" t="inlineStr"/>
    </row>
    <row r="15">
      <c r="A15" s="10" t="inlineStr">
        <is>
          <t>M6</t>
        </is>
      </c>
      <c r="B15" s="10" t="inlineStr">
        <is>
          <t>Number of rolling origins</t>
        </is>
      </c>
      <c r="C15" s="10" t="inlineStr">
        <is>
          <t>&gt;= 50</t>
        </is>
      </c>
      <c r="D15" s="10" t="inlineStr">
        <is>
          <t>backtest config</t>
        </is>
      </c>
      <c r="E15" s="10" t="inlineStr">
        <is>
          <t>60</t>
        </is>
      </c>
      <c r="F15" s="11" t="inlineStr"/>
    </row>
    <row r="16">
      <c r="A16" s="10" t="inlineStr">
        <is>
          <t>M6</t>
        </is>
      </c>
      <c r="B16" s="10" t="inlineStr">
        <is>
          <t>Champion beats baseline</t>
        </is>
      </c>
      <c r="C16" s="10" t="inlineStr">
        <is>
          <t>DM p &lt; 0.05 vs the runner-up</t>
        </is>
      </c>
      <c r="D16" s="10" t="inlineStr">
        <is>
          <t>diebold_mariano</t>
        </is>
      </c>
      <c r="E16" s="10" t="inlineStr">
        <is>
          <t>p &lt; 0.001</t>
        </is>
      </c>
      <c r="F16" s="11" t="inlineStr"/>
    </row>
    <row r="17">
      <c r="A17" s="10" t="inlineStr">
        <is>
          <t>M7</t>
        </is>
      </c>
      <c r="B17" s="10" t="inlineStr">
        <is>
          <t>Champion changes across scenarios</t>
        </is>
      </c>
      <c r="C17" s="10" t="inlineStr">
        <is>
          <t>at least 2 of 3 differ</t>
        </is>
      </c>
      <c r="D17" s="10" t="inlineStr">
        <is>
          <t>constraint-weighted scoring</t>
        </is>
      </c>
      <c r="E17" s="10" t="inlineStr">
        <is>
          <t>A/B/C differ</t>
        </is>
      </c>
      <c r="F17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2026-09-02T09:36:40Z</dcterms:created>
  <dcterms:modified xmlns:dcterms="http://purl.org/dc/terms/" xmlns:xsi="http://www.w3.org/2001/XMLSchema-instance" xsi:type="dcterms:W3CDTF">2026-09-02T09:36:40Z</dcterms:modified>
</cp:coreProperties>
</file>