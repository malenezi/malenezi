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de72ed1de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094aafb48a74124"/>
    <x:sheet xmlns:r="http://schemas.openxmlformats.org/officeDocument/2006/relationships" name="Activity Log" sheetId="2" r:id="R85192f2c9b7544f9"/>
    <x:sheet xmlns:r="http://schemas.openxmlformats.org/officeDocument/2006/relationships" name="Prompt Builder" sheetId="3" r:id="R26a4a0b0f4c740a9"/>
    <x:sheet xmlns:r="http://schemas.openxmlformats.org/officeDocument/2006/relationships" name="Tool Match" sheetId="4" r:id="R50b2cd3a7a89418d"/>
    <x:sheet xmlns:r="http://schemas.openxmlformats.org/officeDocument/2006/relationships" name="Verification Log" sheetId="5" r:id="Re0aff61a00ae43f3"/>
    <x:sheet xmlns:r="http://schemas.openxmlformats.org/officeDocument/2006/relationships" name="Risk Decisions" sheetId="6" r:id="R14e3f9598c8e491a"/>
    <x:sheet xmlns:r="http://schemas.openxmlformats.org/officeDocument/2006/relationships" name="Impact Calculator" sheetId="7" r:id="Rb2661446678c4102"/>
    <x:sheet xmlns:r="http://schemas.openxmlformats.org/officeDocument/2006/relationships" name="30 Day Plan" sheetId="8" r:id="R84b7eb515fcf4609"/>
    <x:sheet xmlns:r="http://schemas.openxmlformats.org/officeDocument/2006/relationships" name="Capstone Rubric" sheetId="9" r:id="R7bfddb59df0144eb"/>
    <x:sheet xmlns:r="http://schemas.openxmlformats.org/officeDocument/2006/relationships" name="Pre Post" sheetId="10" r:id="Rd4fcc1d17976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&quot;%&quot;"/>
  </x:numFmts>
  <x:fonts count="7">
    <x:font>
      <x:sz val="11"/>
      <x:name val="Carlito"/>
    </x:font>
    <x:font>
      <x:b/>
      <x:sz val="16"/>
      <x:color rgb="FF000000"/>
      <x:name val="Arial"/>
    </x:font>
    <x:font>
      <x:b/>
      <x:sz val="11"/>
      <x:color rgb="FF172554"/>
      <x:name val="Arial"/>
    </x:font>
    <x:font>
      <x:b/>
      <x:sz val="11"/>
      <x:color rgb="FF14804A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FF4CC"/>
      </x:patternFill>
    </x:fill>
    <x:fill>
      <x:patternFill patternType="solid">
        <x:fgColor rgb="FFEEF3FF"/>
      </x:patternFill>
    </x:fill>
  </x:fills>
  <x:borders count="19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6D4FC2"/>
      </x:left>
      <x:top style="thin">
        <x:color rgb="FF6D4FC2"/>
      </x:top>
    </x:border>
    <x:border>
      <x:top style="thin">
        <x:color rgb="FF6D4FC2"/>
      </x:top>
    </x:border>
    <x:border>
      <x:right style="thin">
        <x:color rgb="FF6D4FC2"/>
      </x:right>
      <x:top style="thin">
        <x:color rgb="FF6D4FC2"/>
      </x:top>
    </x:border>
    <x:border>
      <x:left style="thin">
        <x:color rgb="FF6D4FC2"/>
      </x:left>
    </x:border>
    <x:border>
      <x:right style="thin">
        <x:color rgb="FF6D4FC2"/>
      </x:right>
    </x:border>
    <x:border>
      <x:left style="thin">
        <x:color rgb="FF6D4FC2"/>
      </x:left>
      <x:bottom style="thin">
        <x:color rgb="FF6D4FC2"/>
      </x:bottom>
    </x:border>
    <x:border>
      <x:bottom style="thin">
        <x:color rgb="FF6D4FC2"/>
      </x:bottom>
    </x:border>
    <x:border>
      <x:right style="thin">
        <x:color rgb="FF6D4FC2"/>
      </x:right>
      <x:bottom style="thin">
        <x:color rgb="FF6D4FC2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0" fontId="4" fillId="4" borderId="17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5" xfId="0" applyNumberFormat="1" applyFont="1" applyFill="1" applyBorder="1" applyAlignment="1">
      <x:alignment vertical="center" wrapText="1"/>
    </x:xf>
    <x:xf numFmtId="0" fontId="4" fillId="4" borderId="16" xfId="0" applyNumberFormat="1" applyFont="1" applyFill="1" applyBorder="1" applyAlignment="1">
      <x:alignment vertical="center" wrapText="1"/>
    </x:xf>
    <x:xf numFmtId="0" fontId="4" fillId="4" borderId="17" xfId="0" applyNumberFormat="1" applyFont="1" applyFill="1" applyBorder="1" applyAlignment="1">
      <x:alignment vertical="center" wrapText="1"/>
    </x:xf>
    <x:xf numFmtId="0" fontId="4" fillId="4" borderId="18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327b9f7994140" /><Relationship Type="http://schemas.openxmlformats.org/officeDocument/2006/relationships/theme" Target="/xl/theme/theme1.xml" Id="R5c1c157a87e145b4" /><Relationship Type="http://schemas.openxmlformats.org/officeDocument/2006/relationships/sharedStrings" Target="/xl/sharedStrings.xml" Id="R5681695ef4da4ed6" /><Relationship Type="http://schemas.openxmlformats.org/officeDocument/2006/relationships/worksheet" Target="/xl/worksheets/sheet1.xml" Id="R2094aafb48a74124" /><Relationship Type="http://schemas.openxmlformats.org/officeDocument/2006/relationships/worksheet" Target="/xl/worksheets/sheet2.xml" Id="R85192f2c9b7544f9" /><Relationship Type="http://schemas.openxmlformats.org/officeDocument/2006/relationships/worksheet" Target="/xl/worksheets/sheet3.xml" Id="R26a4a0b0f4c740a9" /><Relationship Type="http://schemas.openxmlformats.org/officeDocument/2006/relationships/worksheet" Target="/xl/worksheets/sheet4.xml" Id="R50b2cd3a7a89418d" /><Relationship Type="http://schemas.openxmlformats.org/officeDocument/2006/relationships/worksheet" Target="/xl/worksheets/sheet5.xml" Id="Re0aff61a00ae43f3" /><Relationship Type="http://schemas.openxmlformats.org/officeDocument/2006/relationships/worksheet" Target="/xl/worksheets/sheet6.xml" Id="R14e3f9598c8e491a" /><Relationship Type="http://schemas.openxmlformats.org/officeDocument/2006/relationships/worksheet" Target="/xl/worksheets/sheet7.xml" Id="Rb2661446678c4102" /><Relationship Type="http://schemas.openxmlformats.org/officeDocument/2006/relationships/worksheet" Target="/xl/worksheets/sheet8.xml" Id="R84b7eb515fcf4609" /><Relationship Type="http://schemas.openxmlformats.org/officeDocument/2006/relationships/worksheet" Target="/xl/worksheets/sheet9.xml" Id="R7bfddb59df0144eb" /><Relationship Type="http://schemas.openxmlformats.org/officeDocument/2006/relationships/worksheet" Target="/xl/worksheets/sheet10.xml" Id="Rd4fcc1d17976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>
      <x:c r="A1" s="29"/>
      <x:c r="B1" s="29"/>
      <x:c r="C1" s="29"/>
      <x:c r="D1" s="29"/>
      <x:c r="E1" s="29"/>
      <x:c r="F1" s="29"/>
      <x:c r="G1" s="29"/>
    </x:row>
    <x:row r="2" ht="26" customHeight="1">
      <x:c r="A2" s="30" t="str">
        <x:v>SDA-FAE-100 Learner Workbook</x:v>
      </x:c>
      <x:c r="B2" s="29"/>
      <x:c r="C2" s="29"/>
      <x:c r="D2" s="29"/>
      <x:c r="E2" s="29"/>
      <x:c r="F2" s="29"/>
      <x:c r="G2" s="29"/>
    </x:row>
    <x:row r="3">
      <x:c r="A3" s="29"/>
      <x:c r="B3" s="29"/>
      <x:c r="C3" s="29"/>
      <x:c r="D3" s="29"/>
      <x:c r="E3" s="29"/>
      <x:c r="F3" s="29"/>
      <x:c r="G3" s="29"/>
    </x:row>
    <x:row r="4">
      <x:c r="A4" s="31" t="str">
        <x:v>Course</x:v>
      </x:c>
      <x:c r="B4" s="32" t="str">
        <x:v>AI Fundamentals for the Workplace</x:v>
      </x:c>
      <x:c r="C4" s="29"/>
      <x:c r="D4" s="29"/>
      <x:c r="E4" s="29"/>
      <x:c r="F4" s="29"/>
      <x:c r="G4" s="29"/>
    </x:row>
    <x:row r="5">
      <x:c r="A5" s="33" t="str">
        <x:v>Arabic title</x:v>
      </x:c>
      <x:c r="B5" s="34" t="str">
        <x:v>أساسيات الذكاء الاصطناعي في بيئة العمل</x:v>
      </x:c>
      <x:c r="C5" s="29"/>
      <x:c r="D5" s="29"/>
      <x:c r="E5" s="29"/>
      <x:c r="F5" s="29"/>
      <x:c r="G5" s="29"/>
    </x:row>
    <x:row r="6">
      <x:c r="A6" s="33" t="str">
        <x:v>Duration</x:v>
      </x:c>
      <x:c r="B6" s="34" t="str">
        <x:v>2 days, 10 learning hours</x:v>
      </x:c>
      <x:c r="C6" s="29"/>
      <x:c r="D6" s="29"/>
      <x:c r="E6" s="29"/>
      <x:c r="F6" s="29"/>
      <x:c r="G6" s="29"/>
    </x:row>
    <x:row r="7">
      <x:c r="A7" s="33" t="str">
        <x:v>Audience</x:v>
      </x:c>
      <x:c r="B7" s="34" t="str">
        <x:v>Non-technical professionals, administrative staff and team leaders</x:v>
      </x:c>
      <x:c r="C7" s="29"/>
      <x:c r="D7" s="29"/>
      <x:c r="E7" s="29"/>
      <x:c r="F7" s="29"/>
      <x:c r="G7" s="29"/>
    </x:row>
    <x:row r="8">
      <x:c r="A8" s="33" t="str">
        <x:v>Practice rule</x:v>
      </x:c>
      <x:c r="B8" s="34" t="str">
        <x:v>Use only public or synthetic data in all exercises</x:v>
      </x:c>
      <x:c r="C8" s="29"/>
      <x:c r="D8" s="29"/>
      <x:c r="E8" s="29"/>
      <x:c r="F8" s="29"/>
      <x:c r="G8" s="29"/>
    </x:row>
    <x:row r="9">
      <x:c r="A9" s="33" t="str">
        <x:v>Completion</x:v>
      </x:c>
      <x:c r="B9" s="34" t="str">
        <x:v>At least 80% attendance and 60% final assessment</x:v>
      </x:c>
      <x:c r="C9" s="29"/>
      <x:c r="D9" s="29"/>
      <x:c r="E9" s="29"/>
      <x:c r="F9" s="29"/>
      <x:c r="G9" s="29"/>
    </x:row>
    <x:row r="10">
      <x:c r="A10" s="35" t="str">
        <x:v>Primary evidence</x:v>
      </x:c>
      <x:c r="B10" s="36" t="str">
        <x:v>Completed activities, capstone case and 30 day plan</x:v>
      </x:c>
      <x:c r="C10" s="29"/>
      <x:c r="D10" s="29"/>
      <x:c r="E10" s="29"/>
      <x:c r="F10" s="29"/>
      <x:c r="G10" s="29"/>
    </x:row>
    <x:row r="11">
      <x:c r="A11" s="29"/>
      <x:c r="B11" s="29"/>
      <x:c r="C11" s="29"/>
      <x:c r="D11" s="29"/>
      <x:c r="E11" s="29"/>
      <x:c r="F11" s="29"/>
      <x:c r="G11" s="29"/>
    </x:row>
    <x:row r="12">
      <x:c r="A12" s="37" t="str">
        <x:v>How to use</x:v>
      </x:c>
      <x:c r="B12" s="29" t="str">
        <x:v>Start with Activity Log. Complete the working tabs during the course. Submit the Capstone Rubric and 30 Day Plan at the end.</x:v>
      </x:c>
      <x:c r="C12" s="29"/>
      <x:c r="D12" s="29"/>
      <x:c r="E12" s="29"/>
      <x:c r="F12" s="29"/>
      <x:c r="G12" s="29"/>
    </x:row>
    <x:row r="13">
      <x:c r="A13" s="29"/>
      <x:c r="B13" s="29"/>
      <x:c r="C13" s="29"/>
      <x:c r="D13" s="29"/>
      <x:c r="E13" s="29"/>
      <x:c r="F13" s="29"/>
      <x:c r="G13" s="29"/>
    </x:row>
    <x:row r="14">
      <x:c r="A14" s="29"/>
      <x:c r="B14" s="29"/>
      <x:c r="C14" s="29"/>
      <x:c r="D14" s="29"/>
      <x:c r="E14" s="29"/>
      <x:c r="F14" s="29"/>
      <x:c r="G14" s="29"/>
    </x:row>
  </x:sheetData>
  <x:mergeCells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8" hidden="0" customWidth="1"/>
    <x:col min="4" max="4" width="10" hidden="0" customWidth="1"/>
    <x:col min="5" max="5" width="42" hidden="0" customWidth="1"/>
    <x:col min="6" max="6" width="16" hidden="0" customWidth="1"/>
  </x:cols>
  <x:sheetData>
    <x:row r="1">
      <x:c r="A1" s="71"/>
      <x:c r="B1" s="71"/>
      <x:c r="C1" s="71"/>
      <x:c r="D1" s="71"/>
      <x:c r="E1" s="71"/>
      <x:c r="F1" s="71"/>
    </x:row>
    <x:row r="2" ht="26" customHeight="1">
      <x:c r="A2" s="72" t="str">
        <x:v>Activity completion record</x:v>
      </x:c>
      <x:c r="B2" s="71"/>
      <x:c r="C2" s="71"/>
      <x:c r="D2" s="71"/>
      <x:c r="E2" s="71"/>
      <x:c r="F2" s="71"/>
    </x:row>
    <x:row r="3">
      <x:c r="A3" s="71"/>
      <x:c r="B3" s="71"/>
      <x:c r="C3" s="71"/>
      <x:c r="D3" s="71"/>
      <x:c r="E3" s="71"/>
      <x:c r="F3" s="71"/>
    </x:row>
    <x:row r="4">
      <x:c r="A4" s="61" t="str">
        <x:v>No.</x:v>
      </x:c>
      <x:c r="B4" s="61" t="str">
        <x:v>Module</x:v>
      </x:c>
      <x:c r="C4" s="61" t="str">
        <x:v>Activity</x:v>
      </x:c>
      <x:c r="D4" s="61" t="str">
        <x:v>Minutes</x:v>
      </x:c>
      <x:c r="E4" s="61" t="str">
        <x:v>Evidence to keep</x:v>
      </x:c>
      <x:c r="F4" s="61" t="str">
        <x:v>Status</x:v>
      </x:c>
    </x:row>
    <x:row r="5">
      <x:c r="A5" s="62" t="n">
        <x:v>1</x:v>
      </x:c>
      <x:c r="B5" s="63" t="str">
        <x:v>Opening</x:v>
      </x:c>
      <x:c r="C5" s="63" t="str">
        <x:v>Expectations and recurring task</x:v>
      </x:c>
      <x:c r="D5" s="63" t="n">
        <x:v>10</x:v>
      </x:c>
      <x:c r="E5" s="63" t="str">
        <x:v>One task and one expectation</x:v>
      </x:c>
      <x:c r="F5" s="64" t="str">
        <x:v>Not Started</x:v>
      </x:c>
    </x:row>
    <x:row r="6">
      <x:c r="A6" s="65" t="n">
        <x:v>2</x:v>
      </x:c>
      <x:c r="B6" s="66" t="str">
        <x:v>Module 1</x:v>
      </x:c>
      <x:c r="C6" s="66" t="str">
        <x:v>AI touchpoints in the last 24 hours</x:v>
      </x:c>
      <x:c r="D6" s="66" t="n">
        <x:v>12</x:v>
      </x:c>
      <x:c r="E6" s="66" t="str">
        <x:v>Five touchpoints</x:v>
      </x:c>
      <x:c r="F6" s="67" t="str">
        <x:v>Not Started</x:v>
      </x:c>
    </x:row>
    <x:row r="7">
      <x:c r="A7" s="65" t="n">
        <x:v>3</x:v>
      </x:c>
      <x:c r="B7" s="66" t="str">
        <x:v>Module 2</x:v>
      </x:c>
      <x:c r="C7" s="66" t="str">
        <x:v>Match the task to the tool</x:v>
      </x:c>
      <x:c r="D7" s="66" t="n">
        <x:v>15</x:v>
      </x:c>
      <x:c r="E7" s="66" t="str">
        <x:v>Six-row decision matrix</x:v>
      </x:c>
      <x:c r="F7" s="67" t="str">
        <x:v>Not Started</x:v>
      </x:c>
    </x:row>
    <x:row r="8">
      <x:c r="A8" s="65" t="n">
        <x:v>4</x:v>
      </x:c>
      <x:c r="B8" s="66" t="str">
        <x:v>Module 3</x:v>
      </x:c>
      <x:c r="C8" s="66" t="str">
        <x:v>Structured email prompt</x:v>
      </x:c>
      <x:c r="D8" s="66" t="n">
        <x:v>15</x:v>
      </x:c>
      <x:c r="E8" s="66" t="str">
        <x:v>Baseline and improved prompt</x:v>
      </x:c>
      <x:c r="F8" s="67" t="str">
        <x:v>Not Started</x:v>
      </x:c>
    </x:row>
    <x:row r="9">
      <x:c r="A9" s="65" t="n">
        <x:v>5</x:v>
      </x:c>
      <x:c r="B9" s="66" t="str">
        <x:v>Module 3</x:v>
      </x:c>
      <x:c r="C9" s="66" t="str">
        <x:v>Source-bound summary</x:v>
      </x:c>
      <x:c r="D9" s="66" t="n">
        <x:v>12</x:v>
      </x:c>
      <x:c r="E9" s="66" t="str">
        <x:v>Five-point verified summary</x:v>
      </x:c>
      <x:c r="F9" s="67" t="str">
        <x:v>Not Started</x:v>
      </x:c>
    </x:row>
    <x:row r="10">
      <x:c r="A10" s="65" t="n">
        <x:v>6</x:v>
      </x:c>
      <x:c r="B10" s="66" t="str">
        <x:v>Module 3</x:v>
      </x:c>
      <x:c r="C10" s="66" t="str">
        <x:v>Meeting notes to action table</x:v>
      </x:c>
      <x:c r="D10" s="66" t="n">
        <x:v>15</x:v>
      </x:c>
      <x:c r="E10" s="66" t="str">
        <x:v>Action table with owners</x:v>
      </x:c>
      <x:c r="F10" s="67" t="str">
        <x:v>Not Started</x:v>
      </x:c>
    </x:row>
    <x:row r="11">
      <x:c r="A11" s="65" t="n">
        <x:v>7</x:v>
      </x:c>
      <x:c r="B11" s="66" t="str">
        <x:v>Module 4</x:v>
      </x:c>
      <x:c r="C11" s="66" t="str">
        <x:v>Verification challenge</x:v>
      </x:c>
      <x:c r="D11" s="66" t="n">
        <x:v>20</x:v>
      </x:c>
      <x:c r="E11" s="66" t="str">
        <x:v>Claim and source record</x:v>
      </x:c>
      <x:c r="F11" s="67" t="str">
        <x:v>Not Started</x:v>
      </x:c>
    </x:row>
    <x:row r="12">
      <x:c r="A12" s="65" t="n">
        <x:v>8</x:v>
      </x:c>
      <x:c r="B12" s="66" t="str">
        <x:v>Module 5</x:v>
      </x:c>
      <x:c r="C12" s="66" t="str">
        <x:v>Risk classification decisions</x:v>
      </x:c>
      <x:c r="D12" s="66" t="n">
        <x:v>15</x:v>
      </x:c>
      <x:c r="E12" s="66" t="str">
        <x:v>Six scenario decisions</x:v>
      </x:c>
      <x:c r="F12" s="67" t="str">
        <x:v>Not Started</x:v>
      </x:c>
    </x:row>
    <x:row r="13">
      <x:c r="A13" s="65" t="n">
        <x:v>9</x:v>
      </x:c>
      <x:c r="B13" s="66" t="str">
        <x:v>Module 6</x:v>
      </x:c>
      <x:c r="C13" s="66" t="str">
        <x:v>Measure workplace impact</x:v>
      </x:c>
      <x:c r="D13" s="66" t="n">
        <x:v>12</x:v>
      </x:c>
      <x:c r="E13" s="66" t="str">
        <x:v>Before and after time measure</x:v>
      </x:c>
      <x:c r="F13" s="67" t="str">
        <x:v>Not Started</x:v>
      </x:c>
    </x:row>
    <x:row r="14">
      <x:c r="A14" s="68" t="n">
        <x:v>10</x:v>
      </x:c>
      <x:c r="B14" s="69" t="str">
        <x:v>Module 6</x:v>
      </x:c>
      <x:c r="C14" s="69" t="str">
        <x:v>Capstone workplace use case</x:v>
      </x:c>
      <x:c r="D14" s="69" t="n">
        <x:v>25</x:v>
      </x:c>
      <x:c r="E14" s="69" t="str">
        <x:v>Three-minute presentation</x:v>
      </x:c>
      <x:c r="F14" s="70" t="str">
        <x:v>Not Started</x:v>
      </x:c>
    </x:row>
  </x:sheetData>
  <x:mergeCells>
    <x:mergeCell ref="A2:F2"/>
  </x:mergeCells>
  <x:dataValidations count="1">
    <x:dataValidation type="list" sqref="F5:F14">
      <x:formula1>"Not Started,In Progress,Complete"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71"/>
      <x:c r="B1" s="71"/>
      <x:c r="C1" s="71"/>
      <x:c r="D1" s="71"/>
      <x:c r="E1" s="71"/>
      <x:c r="F1" s="71"/>
    </x:row>
    <x:row r="2" ht="26" customHeight="1">
      <x:c r="A2" s="72" t="str">
        <x:v>Structured prompt builder</x:v>
      </x:c>
      <x:c r="B2" s="71"/>
      <x:c r="C2" s="71"/>
      <x:c r="D2" s="71"/>
      <x:c r="E2" s="71"/>
      <x:c r="F2" s="71"/>
    </x:row>
    <x:row r="3">
      <x:c r="A3" s="71"/>
      <x:c r="B3" s="71"/>
      <x:c r="C3" s="71"/>
      <x:c r="D3" s="71"/>
      <x:c r="E3" s="71"/>
      <x:c r="F3" s="71"/>
    </x:row>
    <x:row r="4">
      <x:c r="A4" s="61" t="str">
        <x:v>Element</x:v>
      </x:c>
      <x:c r="B4" s="61" t="str">
        <x:v>Your input</x:v>
      </x:c>
      <x:c r="C4" s="71"/>
      <x:c r="D4" s="71"/>
      <x:c r="E4" s="71"/>
      <x:c r="F4" s="71"/>
    </x:row>
    <x:row r="5">
      <x:c r="A5" s="71" t="str">
        <x:v>Role</x:v>
      </x:c>
      <x:c r="B5" s="95" t="str"/>
      <x:c r="C5" s="71"/>
      <x:c r="D5" s="71"/>
      <x:c r="E5" s="71"/>
      <x:c r="F5" s="71"/>
    </x:row>
    <x:row r="6">
      <x:c r="A6" s="71" t="str">
        <x:v>Task</x:v>
      </x:c>
      <x:c r="B6" s="95" t="str"/>
      <x:c r="C6" s="71"/>
      <x:c r="D6" s="71"/>
      <x:c r="E6" s="71"/>
      <x:c r="F6" s="71"/>
    </x:row>
    <x:row r="7">
      <x:c r="A7" s="71" t="str">
        <x:v>Context and audience</x:v>
      </x:c>
      <x:c r="B7" s="95" t="str"/>
      <x:c r="C7" s="71"/>
      <x:c r="D7" s="71"/>
      <x:c r="E7" s="71"/>
      <x:c r="F7" s="71"/>
    </x:row>
    <x:row r="8">
      <x:c r="A8" s="71" t="str">
        <x:v>Source or input</x:v>
      </x:c>
      <x:c r="B8" s="95" t="str"/>
      <x:c r="C8" s="71"/>
      <x:c r="D8" s="71"/>
      <x:c r="E8" s="71"/>
      <x:c r="F8" s="71"/>
    </x:row>
    <x:row r="9">
      <x:c r="A9" s="71" t="str">
        <x:v>Output format</x:v>
      </x:c>
      <x:c r="B9" s="95" t="str"/>
      <x:c r="C9" s="71"/>
      <x:c r="D9" s="71"/>
      <x:c r="E9" s="71"/>
      <x:c r="F9" s="71"/>
    </x:row>
    <x:row r="10">
      <x:c r="A10" s="71" t="str">
        <x:v>Limits and exclusions</x:v>
      </x:c>
      <x:c r="B10" s="95" t="str"/>
      <x:c r="C10" s="71"/>
      <x:c r="D10" s="71"/>
      <x:c r="E10" s="71"/>
      <x:c r="F10" s="71"/>
    </x:row>
    <x:row r="11">
      <x:c r="A11" s="71"/>
      <x:c r="B11" s="71"/>
      <x:c r="C11" s="71"/>
      <x:c r="D11" s="71"/>
      <x:c r="E11" s="71"/>
      <x:c r="F11" s="71"/>
    </x:row>
    <x:row r="12">
      <x:c r="A12" s="96" t="str">
        <x:v>Assembled prompt</x:v>
      </x:c>
      <x:c r="B12" s="97" t="str">
        <x:f>"Role: "&amp;B5&amp;CHAR(10)&amp;"Task: "&amp;B6&amp;CHAR(10)&amp;"Context: "&amp;B7&amp;CHAR(10)&amp;"Source: "&amp;B8&amp;CHAR(10)&amp;"Output: "&amp;B9&amp;CHAR(10)&amp;"Limits: "&amp;B10</x:f>
        <x:v>Role: 
Task: 
Context: 
Source: 
Output: 
Limits: </x:v>
      </x:c>
      <x:c r="C12" s="98"/>
      <x:c r="D12" s="98"/>
      <x:c r="E12" s="98"/>
      <x:c r="F12" s="99"/>
    </x:row>
    <x:row r="13">
      <x:c r="A13" s="71"/>
      <x:c r="B13" s="100"/>
      <x:c r="C13" s="101"/>
      <x:c r="D13" s="101"/>
      <x:c r="E13" s="101"/>
      <x:c r="F13" s="102"/>
    </x:row>
    <x:row r="14">
      <x:c r="A14" s="71"/>
      <x:c r="B14" s="100"/>
      <x:c r="C14" s="101"/>
      <x:c r="D14" s="101"/>
      <x:c r="E14" s="101"/>
      <x:c r="F14" s="102"/>
    </x:row>
    <x:row r="15">
      <x:c r="A15" s="71"/>
      <x:c r="B15" s="100"/>
      <x:c r="C15" s="101"/>
      <x:c r="D15" s="101"/>
      <x:c r="E15" s="101"/>
      <x:c r="F15" s="102"/>
    </x:row>
    <x:row r="16">
      <x:c r="A16" s="71"/>
      <x:c r="B16" s="100"/>
      <x:c r="C16" s="101"/>
      <x:c r="D16" s="101"/>
      <x:c r="E16" s="101"/>
      <x:c r="F16" s="102"/>
    </x:row>
    <x:row r="17">
      <x:c r="A17" s="71"/>
      <x:c r="B17" s="100"/>
      <x:c r="C17" s="101"/>
      <x:c r="D17" s="101"/>
      <x:c r="E17" s="101"/>
      <x:c r="F17" s="102"/>
    </x:row>
    <x:row r="18">
      <x:c r="A18" s="71"/>
      <x:c r="B18" s="103"/>
      <x:c r="C18" s="104"/>
      <x:c r="D18" s="104"/>
      <x:c r="E18" s="104"/>
      <x:c r="F18" s="105"/>
    </x:row>
  </x:sheetData>
  <x:mergeCells>
    <x:mergeCell ref="A2:F2"/>
    <x:mergeCell ref="B12:F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71"/>
      <x:c r="B1" s="71"/>
      <x:c r="C1" s="71"/>
      <x:c r="D1" s="71"/>
      <x:c r="E1" s="71"/>
      <x:c r="F1" s="71"/>
      <x:c r="G1" s="71"/>
    </x:row>
    <x:row r="2" ht="26" customHeight="1">
      <x:c r="A2" s="72" t="str">
        <x:v>Task and tool decision matrix</x:v>
      </x:c>
      <x:c r="B2" s="71"/>
      <x:c r="C2" s="71"/>
      <x:c r="D2" s="71"/>
      <x:c r="E2" s="71"/>
      <x:c r="F2" s="71"/>
      <x:c r="G2" s="71"/>
    </x:row>
    <x:row r="3">
      <x:c r="A3" s="71"/>
      <x:c r="B3" s="71"/>
      <x:c r="C3" s="71"/>
      <x:c r="D3" s="71"/>
      <x:c r="E3" s="71"/>
      <x:c r="F3" s="71"/>
      <x:c r="G3" s="71"/>
    </x:row>
    <x:row r="4">
      <x:c r="A4" s="61" t="str">
        <x:v>No.</x:v>
      </x:c>
      <x:c r="B4" s="61" t="str">
        <x:v>Workplace task</x:v>
      </x:c>
      <x:c r="C4" s="61" t="str">
        <x:v>Likely tool family</x:v>
      </x:c>
      <x:c r="D4" s="61" t="str">
        <x:v>Data class</x:v>
      </x:c>
      <x:c r="E4" s="61" t="str">
        <x:v>Risk</x:v>
      </x:c>
      <x:c r="F4" s="61" t="str">
        <x:v>Decision</x:v>
      </x:c>
      <x:c r="G4" s="61" t="str">
        <x:v>Reason</x:v>
      </x:c>
    </x:row>
    <x:row r="5">
      <x:c r="A5" s="62" t="n">
        <x:v>1</x:v>
      </x:c>
      <x:c r="B5" s="63" t="str">
        <x:v>Draft a public event announcement</x:v>
      </x:c>
      <x:c r="C5" s="112" t="str"/>
      <x:c r="D5" s="112" t="str"/>
      <x:c r="E5" s="112" t="str"/>
      <x:c r="F5" s="112" t="str"/>
      <x:c r="G5" s="113" t="str"/>
    </x:row>
    <x:row r="6">
      <x:c r="A6" s="65" t="n">
        <x:v>2</x:v>
      </x:c>
      <x:c r="B6" s="66" t="str">
        <x:v>Summarize internal meeting notes</x:v>
      </x:c>
      <x:c r="C6" s="114" t="str"/>
      <x:c r="D6" s="114" t="str"/>
      <x:c r="E6" s="114" t="str"/>
      <x:c r="F6" s="114" t="str"/>
      <x:c r="G6" s="115" t="str"/>
    </x:row>
    <x:row r="7">
      <x:c r="A7" s="65" t="n">
        <x:v>3</x:v>
      </x:c>
      <x:c r="B7" s="66" t="str">
        <x:v>Analyze a spreadsheet of synthetic service requests</x:v>
      </x:c>
      <x:c r="C7" s="114" t="str"/>
      <x:c r="D7" s="114" t="str"/>
      <x:c r="E7" s="114" t="str"/>
      <x:c r="F7" s="114" t="str"/>
      <x:c r="G7" s="115" t="str"/>
    </x:row>
    <x:row r="8">
      <x:c r="A8" s="65" t="n">
        <x:v>4</x:v>
      </x:c>
      <x:c r="B8" s="66" t="str">
        <x:v>Paste a beneficiary complaint with identity details</x:v>
      </x:c>
      <x:c r="C8" s="114" t="str"/>
      <x:c r="D8" s="114" t="str"/>
      <x:c r="E8" s="114" t="str"/>
      <x:c r="F8" s="114" t="str"/>
      <x:c r="G8" s="115" t="str"/>
    </x:row>
    <x:row r="9">
      <x:c r="A9" s="65" t="n">
        <x:v>5</x:v>
      </x:c>
      <x:c r="B9" s="66" t="str">
        <x:v>Generate image concepts for a public campaign</x:v>
      </x:c>
      <x:c r="C9" s="114" t="str"/>
      <x:c r="D9" s="114" t="str"/>
      <x:c r="E9" s="114" t="str"/>
      <x:c r="F9" s="114" t="str"/>
      <x:c r="G9" s="115" t="str"/>
    </x:row>
    <x:row r="10">
      <x:c r="A10" s="68" t="n">
        <x:v>6</x:v>
      </x:c>
      <x:c r="B10" s="69" t="str">
        <x:v>Make a final legal eligibility decision</x:v>
      </x:c>
      <x:c r="C10" s="116" t="str"/>
      <x:c r="D10" s="116" t="str"/>
      <x:c r="E10" s="116" t="str"/>
      <x:c r="F10" s="116" t="str"/>
      <x:c r="G10" s="117" t="str"/>
    </x:row>
  </x:sheetData>
  <x:mergeCells>
    <x:mergeCell ref="A2:G2"/>
  </x:mergeCells>
  <x:dataValidations count="3">
    <x:dataValidation type="list" sqref="D5:D10">
      <x:formula1>"Public,Internal,Restricted,Secret"</x:formula1>
    </x:dataValidation>
    <x:dataValidation type="list" sqref="E5:E10">
      <x:formula1>"Green,Amber,Red"</x:formula1>
    </x:dataValidation>
    <x:dataValidation type="list" sqref="F5:F10">
      <x:formula1>"Use,Use with conditions,Do not use"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</x:cols>
  <x:sheetData>
    <x:row r="1">
      <x:c r="A1" s="71"/>
      <x:c r="B1" s="71"/>
      <x:c r="C1" s="71"/>
      <x:c r="D1" s="71"/>
      <x:c r="E1" s="71"/>
      <x:c r="F1" s="71"/>
      <x:c r="G1" s="71"/>
      <x:c r="H1" s="71"/>
    </x:row>
    <x:row r="2" ht="26" customHeight="1">
      <x:c r="A2" s="72" t="str">
        <x:v>Verification record</x:v>
      </x:c>
      <x:c r="B2" s="71"/>
      <x:c r="C2" s="71"/>
      <x:c r="D2" s="71"/>
      <x:c r="E2" s="71"/>
      <x:c r="F2" s="71"/>
      <x:c r="G2" s="71"/>
      <x:c r="H2" s="71"/>
    </x:row>
    <x:row r="3">
      <x:c r="A3" s="71"/>
      <x:c r="B3" s="71"/>
      <x:c r="C3" s="71"/>
      <x:c r="D3" s="71"/>
      <x:c r="E3" s="71"/>
      <x:c r="F3" s="71"/>
      <x:c r="G3" s="71"/>
      <x:c r="H3" s="71"/>
    </x:row>
    <x:row r="4">
      <x:c r="A4" s="61" t="str">
        <x:v>No.</x:v>
      </x:c>
      <x:c r="B4" s="61" t="str">
        <x:v>Claim or number</x:v>
      </x:c>
      <x:c r="C4" s="61" t="str">
        <x:v>Source file</x:v>
      </x:c>
      <x:c r="D4" s="61" t="str">
        <x:v>Page or row</x:v>
      </x:c>
      <x:c r="E4" s="61" t="str">
        <x:v>Exact match</x:v>
      </x:c>
      <x:c r="F4" s="61" t="str">
        <x:v>Issue found</x:v>
      </x:c>
      <x:c r="G4" s="61" t="str">
        <x:v>Decision</x:v>
      </x:c>
      <x:c r="H4" s="61" t="str">
        <x:v>Corrected wording</x:v>
      </x:c>
    </x:row>
    <x:row r="5">
      <x:c r="A5" s="62" t="n">
        <x:v>1</x:v>
      </x:c>
      <x:c r="B5" s="112" t="str"/>
      <x:c r="C5" s="112" t="str"/>
      <x:c r="D5" s="112" t="str"/>
      <x:c r="E5" s="112" t="str"/>
      <x:c r="F5" s="112" t="str"/>
      <x:c r="G5" s="112" t="str"/>
      <x:c r="H5" s="113" t="str"/>
    </x:row>
    <x:row r="6">
      <x:c r="A6" s="65" t="n">
        <x:v>2</x:v>
      </x:c>
      <x:c r="B6" s="114" t="str"/>
      <x:c r="C6" s="114" t="str"/>
      <x:c r="D6" s="114" t="str"/>
      <x:c r="E6" s="114" t="str"/>
      <x:c r="F6" s="114" t="str"/>
      <x:c r="G6" s="114" t="str"/>
      <x:c r="H6" s="115" t="str"/>
    </x:row>
    <x:row r="7">
      <x:c r="A7" s="65" t="n">
        <x:v>3</x:v>
      </x:c>
      <x:c r="B7" s="114" t="str"/>
      <x:c r="C7" s="114" t="str"/>
      <x:c r="D7" s="114" t="str"/>
      <x:c r="E7" s="114" t="str"/>
      <x:c r="F7" s="114" t="str"/>
      <x:c r="G7" s="114" t="str"/>
      <x:c r="H7" s="115" t="str"/>
    </x:row>
    <x:row r="8">
      <x:c r="A8" s="65" t="n">
        <x:v>4</x:v>
      </x:c>
      <x:c r="B8" s="114" t="str"/>
      <x:c r="C8" s="114" t="str"/>
      <x:c r="D8" s="114" t="str"/>
      <x:c r="E8" s="114" t="str"/>
      <x:c r="F8" s="114" t="str"/>
      <x:c r="G8" s="114" t="str"/>
      <x:c r="H8" s="115" t="str"/>
    </x:row>
    <x:row r="9">
      <x:c r="A9" s="65" t="n">
        <x:v>5</x:v>
      </x:c>
      <x:c r="B9" s="114" t="str"/>
      <x:c r="C9" s="114" t="str"/>
      <x:c r="D9" s="114" t="str"/>
      <x:c r="E9" s="114" t="str"/>
      <x:c r="F9" s="114" t="str"/>
      <x:c r="G9" s="114" t="str"/>
      <x:c r="H9" s="115" t="str"/>
    </x:row>
    <x:row r="10">
      <x:c r="A10" s="65" t="n">
        <x:v>6</x:v>
      </x:c>
      <x:c r="B10" s="114" t="str"/>
      <x:c r="C10" s="114" t="str"/>
      <x:c r="D10" s="114" t="str"/>
      <x:c r="E10" s="114" t="str"/>
      <x:c r="F10" s="114" t="str"/>
      <x:c r="G10" s="114" t="str"/>
      <x:c r="H10" s="115" t="str"/>
    </x:row>
    <x:row r="11">
      <x:c r="A11" s="65" t="n">
        <x:v>7</x:v>
      </x:c>
      <x:c r="B11" s="114" t="str"/>
      <x:c r="C11" s="114" t="str"/>
      <x:c r="D11" s="114" t="str"/>
      <x:c r="E11" s="114" t="str"/>
      <x:c r="F11" s="114" t="str"/>
      <x:c r="G11" s="114" t="str"/>
      <x:c r="H11" s="115" t="str"/>
    </x:row>
    <x:row r="12">
      <x:c r="A12" s="65" t="n">
        <x:v>8</x:v>
      </x:c>
      <x:c r="B12" s="114" t="str"/>
      <x:c r="C12" s="114" t="str"/>
      <x:c r="D12" s="114" t="str"/>
      <x:c r="E12" s="114" t="str"/>
      <x:c r="F12" s="114" t="str"/>
      <x:c r="G12" s="114" t="str"/>
      <x:c r="H12" s="115" t="str"/>
    </x:row>
    <x:row r="13">
      <x:c r="A13" s="65" t="n">
        <x:v>9</x:v>
      </x:c>
      <x:c r="B13" s="114" t="str"/>
      <x:c r="C13" s="114" t="str"/>
      <x:c r="D13" s="114" t="str"/>
      <x:c r="E13" s="114" t="str"/>
      <x:c r="F13" s="114" t="str"/>
      <x:c r="G13" s="114" t="str"/>
      <x:c r="H13" s="115" t="str"/>
    </x:row>
    <x:row r="14">
      <x:c r="A14" s="68" t="n">
        <x:v>10</x:v>
      </x:c>
      <x:c r="B14" s="116" t="str"/>
      <x:c r="C14" s="116" t="str"/>
      <x:c r="D14" s="116" t="str"/>
      <x:c r="E14" s="116" t="str"/>
      <x:c r="F14" s="116" t="str"/>
      <x:c r="G14" s="116" t="str"/>
      <x:c r="H14" s="117" t="str"/>
    </x:row>
  </x:sheetData>
  <x:mergeCells>
    <x:mergeCell ref="A2:H2"/>
  </x:mergeCells>
  <x:dataValidations count="2">
    <x:dataValidation type="list" sqref="E5:E14">
      <x:formula1>"Yes,No,Unclear"</x:formula1>
    </x:dataValidation>
    <x:dataValidation type="list" sqref="G5:G14">
      <x:formula1>"Use,Verify,Reject"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</x:cols>
  <x:sheetData>
    <x:row r="1">
      <x:c r="A1" s="71"/>
      <x:c r="B1" s="71"/>
      <x:c r="C1" s="71"/>
      <x:c r="D1" s="71"/>
      <x:c r="E1" s="71"/>
      <x:c r="F1" s="71"/>
      <x:c r="G1" s="71"/>
    </x:row>
    <x:row r="2" ht="26" customHeight="1">
      <x:c r="A2" s="72" t="str">
        <x:v>Risk decisions</x:v>
      </x:c>
      <x:c r="B2" s="71"/>
      <x:c r="C2" s="71"/>
      <x:c r="D2" s="71"/>
      <x:c r="E2" s="71"/>
      <x:c r="F2" s="71"/>
      <x:c r="G2" s="71"/>
    </x:row>
    <x:row r="3">
      <x:c r="A3" s="71"/>
      <x:c r="B3" s="71"/>
      <x:c r="C3" s="71"/>
      <x:c r="D3" s="71"/>
      <x:c r="E3" s="71"/>
      <x:c r="F3" s="71"/>
      <x:c r="G3" s="71"/>
    </x:row>
    <x:row r="4">
      <x:c r="A4" s="61" t="str">
        <x:v>Card</x:v>
      </x:c>
      <x:c r="B4" s="61" t="str">
        <x:v>Scenario</x:v>
      </x:c>
      <x:c r="C4" s="61" t="str">
        <x:v>Data class</x:v>
      </x:c>
      <x:c r="D4" s="61" t="str">
        <x:v>Risk</x:v>
      </x:c>
      <x:c r="E4" s="61" t="str">
        <x:v>Decision</x:v>
      </x:c>
      <x:c r="F4" s="61" t="str">
        <x:v>Condition or reason</x:v>
      </x:c>
      <x:c r="G4" s="61" t="str">
        <x:v>Safe alternative</x:v>
      </x:c>
    </x:row>
    <x:row r="5">
      <x:c r="A5" s="62" t="n">
        <x:v>1</x:v>
      </x:c>
      <x:c r="B5" s="63" t="str">
        <x:v>Public event announcement</x:v>
      </x:c>
      <x:c r="C5" s="112" t="str"/>
      <x:c r="D5" s="112" t="str"/>
      <x:c r="E5" s="112" t="str"/>
      <x:c r="F5" s="112" t="str"/>
      <x:c r="G5" s="113" t="str"/>
    </x:row>
    <x:row r="6">
      <x:c r="A6" s="65" t="n">
        <x:v>2</x:v>
      </x:c>
      <x:c r="B6" s="66" t="str">
        <x:v>Internal meeting summary</x:v>
      </x:c>
      <x:c r="C6" s="114" t="str"/>
      <x:c r="D6" s="114" t="str"/>
      <x:c r="E6" s="114" t="str"/>
      <x:c r="F6" s="114" t="str"/>
      <x:c r="G6" s="115" t="str"/>
    </x:row>
    <x:row r="7">
      <x:c r="A7" s="65" t="n">
        <x:v>3</x:v>
      </x:c>
      <x:c r="B7" s="66" t="str">
        <x:v>Beneficiary complaint with identity data</x:v>
      </x:c>
      <x:c r="C7" s="114" t="str"/>
      <x:c r="D7" s="114" t="str"/>
      <x:c r="E7" s="114" t="str"/>
      <x:c r="F7" s="114" t="str"/>
      <x:c r="G7" s="115" t="str"/>
    </x:row>
    <x:row r="8">
      <x:c r="A8" s="65" t="n">
        <x:v>4</x:v>
      </x:c>
      <x:c r="B8" s="66" t="str">
        <x:v>Training request prioritization</x:v>
      </x:c>
      <x:c r="C8" s="114" t="str"/>
      <x:c r="D8" s="114" t="str"/>
      <x:c r="E8" s="114" t="str"/>
      <x:c r="F8" s="114" t="str"/>
      <x:c r="G8" s="115" t="str"/>
    </x:row>
    <x:row r="9">
      <x:c r="A9" s="65" t="n">
        <x:v>5</x:v>
      </x:c>
      <x:c r="B9" s="66" t="str">
        <x:v>Binding interpretation of a regulation</x:v>
      </x:c>
      <x:c r="C9" s="114" t="str"/>
      <x:c r="D9" s="114" t="str"/>
      <x:c r="E9" s="114" t="str"/>
      <x:c r="F9" s="114" t="str"/>
      <x:c r="G9" s="115" t="str"/>
    </x:row>
    <x:row r="10">
      <x:c r="A10" s="68" t="n">
        <x:v>6</x:v>
      </x:c>
      <x:c r="B10" s="69" t="str">
        <x:v>Ideas from aggregated service metrics</x:v>
      </x:c>
      <x:c r="C10" s="116" t="str"/>
      <x:c r="D10" s="116" t="str"/>
      <x:c r="E10" s="116" t="str"/>
      <x:c r="F10" s="116" t="str"/>
      <x:c r="G10" s="117" t="str"/>
    </x:row>
  </x:sheetData>
  <x:mergeCells>
    <x:mergeCell ref="A2:G2"/>
  </x:mergeCells>
  <x:dataValidations count="3">
    <x:dataValidation type="list" sqref="C5:C10">
      <x:formula1>"Public,Internal,Restricted,Secret"</x:formula1>
    </x:dataValidation>
    <x:dataValidation type="list" sqref="D5:D10">
      <x:formula1>"Green,Amber,Red"</x:formula1>
    </x:dataValidation>
    <x:dataValidation type="list" sqref="E5:E10">
      <x:formula1>"Use,Use with conditions,Do not use"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" hidden="0" customWidth="1"/>
  </x:cols>
  <x:sheetData>
    <x:row r="1">
      <x:c r="A1" s="71"/>
      <x:c r="B1" s="71"/>
      <x:c r="C1" s="71"/>
      <x:c r="D1" s="71"/>
    </x:row>
    <x:row r="2" ht="26" customHeight="1">
      <x:c r="A2" s="72" t="str">
        <x:v>Workplace impact calculator</x:v>
      </x:c>
      <x:c r="B2" s="71"/>
      <x:c r="C2" s="71"/>
      <x:c r="D2" s="71"/>
    </x:row>
    <x:row r="3">
      <x:c r="A3" s="71"/>
      <x:c r="B3" s="71"/>
      <x:c r="C3" s="71"/>
      <x:c r="D3" s="71"/>
    </x:row>
    <x:row r="4">
      <x:c r="A4" s="61" t="str">
        <x:v>Measure</x:v>
      </x:c>
      <x:c r="B4" s="61" t="str">
        <x:v>Value</x:v>
      </x:c>
      <x:c r="C4" s="71"/>
      <x:c r="D4" s="71"/>
    </x:row>
    <x:row r="5">
      <x:c r="A5" s="71" t="str">
        <x:v>Task</x:v>
      </x:c>
      <x:c r="B5" s="123" t="str"/>
      <x:c r="C5" s="71"/>
      <x:c r="D5" s="71"/>
    </x:row>
    <x:row r="6">
      <x:c r="A6" s="71" t="str">
        <x:v>Times per week</x:v>
      </x:c>
      <x:c r="B6" s="123" t="n">
        <x:v>3</x:v>
      </x:c>
      <x:c r="C6" s="71"/>
      <x:c r="D6" s="71"/>
    </x:row>
    <x:row r="7">
      <x:c r="A7" s="71" t="str">
        <x:v>Minutes before AI</x:v>
      </x:c>
      <x:c r="B7" s="123" t="n">
        <x:v>45</x:v>
      </x:c>
      <x:c r="C7" s="71"/>
      <x:c r="D7" s="71"/>
    </x:row>
    <x:row r="8">
      <x:c r="A8" s="71" t="str">
        <x:v>Minutes after AI and review</x:v>
      </x:c>
      <x:c r="B8" s="123" t="n">
        <x:v>25</x:v>
      </x:c>
      <x:c r="C8" s="71"/>
      <x:c r="D8" s="71"/>
    </x:row>
    <x:row r="9">
      <x:c r="A9" s="124" t="str">
        <x:v>Minutes saved per week</x:v>
      </x:c>
      <x:c r="B9" s="124" t="n">
        <x:f>MAX(0,(B7-B8)*B6)</x:f>
        <x:v>60</x:v>
      </x:c>
      <x:c r="C9" s="71"/>
      <x:c r="D9" s="71"/>
    </x:row>
    <x:row r="10">
      <x:c r="A10" s="124" t="str">
        <x:v>Hours saved per year</x:v>
      </x:c>
      <x:c r="B10" s="125" t="n">
        <x:f>B9*48/60</x:f>
        <x:v>48</x:v>
      </x:c>
      <x:c r="C10" s="71"/>
      <x:c r="D10" s="71"/>
    </x:row>
    <x:row r="11">
      <x:c r="A11" s="71" t="str">
        <x:v>Quality score before (1-5)</x:v>
      </x:c>
      <x:c r="B11" s="123" t="n">
        <x:v>3</x:v>
      </x:c>
      <x:c r="C11" s="71"/>
      <x:c r="D11" s="71"/>
    </x:row>
    <x:row r="12">
      <x:c r="A12" s="71" t="str">
        <x:v>Quality score after (1-5)</x:v>
      </x:c>
      <x:c r="B12" s="123" t="n">
        <x:v>4</x:v>
      </x:c>
      <x:c r="C12" s="71"/>
      <x:c r="D12" s="71"/>
    </x:row>
    <x:row r="13">
      <x:c r="A13" s="124" t="str">
        <x:v>Quality improvement</x:v>
      </x:c>
      <x:c r="B13" s="124" t="n">
        <x:f>B12-B11</x:f>
        <x:v>1</x:v>
      </x:c>
      <x:c r="C13" s="71"/>
      <x:c r="D13" s="71"/>
    </x:row>
    <x:row r="14">
      <x:c r="A14" s="71"/>
      <x:c r="B14" s="71"/>
      <x:c r="C14" s="71"/>
      <x:c r="D14" s="71"/>
    </x:row>
  </x:sheetData>
  <x:mergeCells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</x:cols>
  <x:sheetData>
    <x:row r="1">
      <x:c r="A1" s="71"/>
      <x:c r="B1" s="71"/>
      <x:c r="C1" s="71"/>
      <x:c r="D1" s="71"/>
      <x:c r="E1" s="71"/>
      <x:c r="F1" s="71"/>
    </x:row>
    <x:row r="2" ht="26" customHeight="1">
      <x:c r="A2" s="72" t="str">
        <x:v>Thirty day adoption plan</x:v>
      </x:c>
      <x:c r="B2" s="71"/>
      <x:c r="C2" s="71"/>
      <x:c r="D2" s="71"/>
      <x:c r="E2" s="71"/>
      <x:c r="F2" s="71"/>
    </x:row>
    <x:row r="3">
      <x:c r="A3" s="71"/>
      <x:c r="B3" s="71"/>
      <x:c r="C3" s="71"/>
      <x:c r="D3" s="71"/>
      <x:c r="E3" s="71"/>
      <x:c r="F3" s="71"/>
    </x:row>
    <x:row r="4">
      <x:c r="A4" s="61" t="str">
        <x:v>Period</x:v>
      </x:c>
      <x:c r="B4" s="61" t="str">
        <x:v>Focus</x:v>
      </x:c>
      <x:c r="C4" s="61" t="str">
        <x:v>Planned action</x:v>
      </x:c>
      <x:c r="D4" s="61" t="str">
        <x:v>Evidence</x:v>
      </x:c>
      <x:c r="E4" s="61" t="str">
        <x:v>Owner</x:v>
      </x:c>
      <x:c r="F4" s="61" t="str">
        <x:v>Status</x:v>
      </x:c>
    </x:row>
    <x:row r="5">
      <x:c r="A5" s="62" t="str">
        <x:v>Days 1-3</x:v>
      </x:c>
      <x:c r="B5" s="63" t="str">
        <x:v>Select one low-risk recurring task</x:v>
      </x:c>
      <x:c r="C5" s="112" t="str"/>
      <x:c r="D5" s="63" t="str">
        <x:v>Task baseline</x:v>
      </x:c>
      <x:c r="E5" s="112" t="str"/>
      <x:c r="F5" s="113" t="str">
        <x:v>Not Started</x:v>
      </x:c>
    </x:row>
    <x:row r="6">
      <x:c r="A6" s="65" t="str">
        <x:v>Days 4-7</x:v>
      </x:c>
      <x:c r="B6" s="66" t="str">
        <x:v>Measure current time and build first prompt</x:v>
      </x:c>
      <x:c r="C6" s="114" t="str"/>
      <x:c r="D6" s="66" t="str">
        <x:v>Three time measures</x:v>
      </x:c>
      <x:c r="E6" s="114" t="str"/>
      <x:c r="F6" s="115" t="str">
        <x:v>Not Started</x:v>
      </x:c>
    </x:row>
    <x:row r="7">
      <x:c r="A7" s="65" t="str">
        <x:v>Days 8-14</x:v>
      </x:c>
      <x:c r="B7" s="66" t="str">
        <x:v>Use and refine the prompt</x:v>
      </x:c>
      <x:c r="C7" s="114" t="str"/>
      <x:c r="D7" s="66" t="str">
        <x:v>Saved final prompt</x:v>
      </x:c>
      <x:c r="E7" s="114" t="str"/>
      <x:c r="F7" s="115" t="str">
        <x:v>Not Started</x:v>
      </x:c>
    </x:row>
    <x:row r="8">
      <x:c r="A8" s="65" t="str">
        <x:v>Day 15</x:v>
      </x:c>
      <x:c r="B8" s="66" t="str">
        <x:v>Measure time and quality again</x:v>
      </x:c>
      <x:c r="C8" s="114" t="str"/>
      <x:c r="D8" s="66" t="str">
        <x:v>Before and after result</x:v>
      </x:c>
      <x:c r="E8" s="114" t="str"/>
      <x:c r="F8" s="115" t="str">
        <x:v>Not Started</x:v>
      </x:c>
    </x:row>
    <x:row r="9">
      <x:c r="A9" s="65" t="str">
        <x:v>Days 16-22</x:v>
      </x:c>
      <x:c r="B9" s="66" t="str">
        <x:v>Add a second task</x:v>
      </x:c>
      <x:c r="C9" s="114" t="str"/>
      <x:c r="D9" s="66" t="str">
        <x:v>Verification checklist</x:v>
      </x:c>
      <x:c r="E9" s="114" t="str"/>
      <x:c r="F9" s="115" t="str">
        <x:v>Not Started</x:v>
      </x:c>
    </x:row>
    <x:row r="10">
      <x:c r="A10" s="65" t="str">
        <x:v>Days 23-29</x:v>
      </x:c>
      <x:c r="B10" s="66" t="str">
        <x:v>Share prompts and gather feedback</x:v>
      </x:c>
      <x:c r="C10" s="114" t="str"/>
      <x:c r="D10" s="66" t="str">
        <x:v>Team feedback</x:v>
      </x:c>
      <x:c r="E10" s="114" t="str"/>
      <x:c r="F10" s="115" t="str">
        <x:v>Not Started</x:v>
      </x:c>
    </x:row>
    <x:row r="11">
      <x:c r="A11" s="68" t="str">
        <x:v>Day 30</x:v>
      </x:c>
      <x:c r="B11" s="69" t="str">
        <x:v>Review impact and choose next opportunity</x:v>
      </x:c>
      <x:c r="C11" s="116" t="str"/>
      <x:c r="D11" s="69" t="str">
        <x:v>Monthly review</x:v>
      </x:c>
      <x:c r="E11" s="116" t="str"/>
      <x:c r="F11" s="117" t="str">
        <x:v>Not Started</x:v>
      </x:c>
    </x:row>
  </x:sheetData>
  <x:mergeCells>
    <x:mergeCell ref="A2:F2"/>
  </x:mergeCells>
  <x:dataValidations count="1">
    <x:dataValidation type="list" sqref="F5:F11">
      <x:formula1>"Not Started,In Progress,Complete"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</x:cols>
  <x:sheetData>
    <x:row r="1">
      <x:c r="A1" s="71"/>
      <x:c r="B1" s="71"/>
      <x:c r="C1" s="71"/>
      <x:c r="D1" s="71"/>
      <x:c r="E1" s="71"/>
      <x:c r="F1" s="71"/>
    </x:row>
    <x:row r="2" ht="26" customHeight="1">
      <x:c r="A2" s="72" t="str">
        <x:v>Capstone assessment rubric</x:v>
      </x:c>
      <x:c r="B2" s="71"/>
      <x:c r="C2" s="71"/>
      <x:c r="D2" s="71"/>
      <x:c r="E2" s="71"/>
      <x:c r="F2" s="71"/>
    </x:row>
    <x:row r="3">
      <x:c r="A3" s="71"/>
      <x:c r="B3" s="71"/>
      <x:c r="C3" s="71"/>
      <x:c r="D3" s="71"/>
      <x:c r="E3" s="71"/>
      <x:c r="F3" s="71"/>
    </x:row>
    <x:row r="4">
      <x:c r="A4" s="61" t="str">
        <x:v>Criterion</x:v>
      </x:c>
      <x:c r="B4" s="61" t="str">
        <x:v>Weight</x:v>
      </x:c>
      <x:c r="C4" s="61" t="str">
        <x:v>Score (1-5)</x:v>
      </x:c>
      <x:c r="D4" s="61" t="str">
        <x:v>Weighted score</x:v>
      </x:c>
      <x:c r="E4" s="61" t="str">
        <x:v>Evidence</x:v>
      </x:c>
      <x:c r="F4" s="61" t="str">
        <x:v>Instructor note</x:v>
      </x:c>
    </x:row>
    <x:row r="5">
      <x:c r="A5" s="62" t="str">
        <x:v>Realistic workplace case</x:v>
      </x:c>
      <x:c r="B5" s="132" t="n">
        <x:v>25</x:v>
      </x:c>
      <x:c r="C5" s="112" t="str"/>
      <x:c r="D5" s="133" t="str">
        <x:f>IF(C5="","",B5*C5/5)</x:f>
      </x:c>
      <x:c r="E5" s="112" t="str"/>
      <x:c r="F5" s="113" t="str"/>
    </x:row>
    <x:row r="6">
      <x:c r="A6" s="65" t="str">
        <x:v>Structured prompt quality</x:v>
      </x:c>
      <x:c r="B6" s="134" t="n">
        <x:v>25</x:v>
      </x:c>
      <x:c r="C6" s="114" t="str"/>
      <x:c r="D6" s="135" t="str">
        <x:f>IF(C6="","",B6*C6/5)</x:f>
      </x:c>
      <x:c r="E6" s="114" t="str"/>
      <x:c r="F6" s="115" t="str"/>
    </x:row>
    <x:row r="7">
      <x:c r="A7" s="65" t="str">
        <x:v>Output verification</x:v>
      </x:c>
      <x:c r="B7" s="134" t="n">
        <x:v>25</x:v>
      </x:c>
      <x:c r="C7" s="114" t="str"/>
      <x:c r="D7" s="135" t="str">
        <x:f>IF(C7="","",B7*C7/5)</x:f>
      </x:c>
      <x:c r="E7" s="114" t="str"/>
      <x:c r="F7" s="115" t="str"/>
    </x:row>
    <x:row r="8">
      <x:c r="A8" s="65" t="str">
        <x:v>Safe and responsible use</x:v>
      </x:c>
      <x:c r="B8" s="134" t="n">
        <x:v>15</x:v>
      </x:c>
      <x:c r="C8" s="114" t="str"/>
      <x:c r="D8" s="135" t="str">
        <x:f>IF(C8="","",B8*C8/5)</x:f>
      </x:c>
      <x:c r="E8" s="114" t="str"/>
      <x:c r="F8" s="115" t="str"/>
    </x:row>
    <x:row r="9">
      <x:c r="A9" s="65" t="str">
        <x:v>Measured impact</x:v>
      </x:c>
      <x:c r="B9" s="134" t="n">
        <x:v>10</x:v>
      </x:c>
      <x:c r="C9" s="114" t="str"/>
      <x:c r="D9" s="135" t="str">
        <x:f>IF(C9="","",B9*C9/5)</x:f>
      </x:c>
      <x:c r="E9" s="114" t="str"/>
      <x:c r="F9" s="115" t="str"/>
    </x:row>
    <x:row r="10">
      <x:c r="A10" s="68" t="str">
        <x:v>Total</x:v>
      </x:c>
      <x:c r="B10" s="136" t="n">
        <x:v>100</x:v>
      </x:c>
      <x:c r="C10" s="69"/>
      <x:c r="D10" s="137" t="n">
        <x:f>SUM(D5:D9)</x:f>
        <x:v>0</x:v>
      </x:c>
      <x:c r="E10" s="69"/>
      <x:c r="F10" s="70"/>
    </x:row>
  </x:sheetData>
  <x:mergeCells>
    <x:mergeCell ref="A2:F2"/>
  </x:mergeCells>
  <x:dataValidations count="1">
    <x:dataValidation type="whole" operator="between" sqref="C5:C9">
      <x:formula1>1</x:formula1>
      <x:formula2>5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60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1"/>
      <x:c r="B1" s="71"/>
      <x:c r="C1" s="71"/>
      <x:c r="D1" s="71"/>
      <x:c r="E1" s="71"/>
    </x:row>
    <x:row r="2" ht="26" customHeight="1">
      <x:c r="A2" s="72" t="str">
        <x:v>Pre and post self-assessment</x:v>
      </x:c>
      <x:c r="B2" s="71"/>
      <x:c r="C2" s="71"/>
      <x:c r="D2" s="71"/>
      <x:c r="E2" s="71"/>
    </x:row>
    <x:row r="3">
      <x:c r="A3" s="71"/>
      <x:c r="B3" s="71"/>
      <x:c r="C3" s="71"/>
      <x:c r="D3" s="71"/>
      <x:c r="E3" s="71"/>
    </x:row>
    <x:row r="4">
      <x:c r="A4" s="61" t="str">
        <x:v>No.</x:v>
      </x:c>
      <x:c r="B4" s="61" t="str">
        <x:v>Statement</x:v>
      </x:c>
      <x:c r="C4" s="61" t="str">
        <x:v>Before (1-5)</x:v>
      </x:c>
      <x:c r="D4" s="61" t="str">
        <x:v>After (1-5)</x:v>
      </x:c>
      <x:c r="E4" s="61" t="str">
        <x:v>Change</x:v>
      </x:c>
    </x:row>
    <x:row r="5">
      <x:c r="A5" s="62" t="n">
        <x:v>1</x:v>
      </x:c>
      <x:c r="B5" s="63" t="str">
        <x:v>I can explain AI in plain language</x:v>
      </x:c>
      <x:c r="C5" s="112" t="str"/>
      <x:c r="D5" s="112" t="str"/>
      <x:c r="E5" s="64" t="str">
        <x:f>IF(OR(C5="",D5=""),"",D5-C5)</x:f>
      </x:c>
    </x:row>
    <x:row r="6">
      <x:c r="A6" s="65" t="n">
        <x:v>2</x:v>
      </x:c>
      <x:c r="B6" s="66" t="str">
        <x:v>I can identify common workplace AI tools</x:v>
      </x:c>
      <x:c r="C6" s="114" t="str"/>
      <x:c r="D6" s="114" t="str"/>
      <x:c r="E6" s="67" t="str">
        <x:f>IF(OR(C6="",D6=""),"",D6-C6)</x:f>
      </x:c>
    </x:row>
    <x:row r="7">
      <x:c r="A7" s="65" t="n">
        <x:v>3</x:v>
      </x:c>
      <x:c r="B7" s="66" t="str">
        <x:v>I can choose a suitable tool for a task</x:v>
      </x:c>
      <x:c r="C7" s="114" t="str"/>
      <x:c r="D7" s="114" t="str"/>
      <x:c r="E7" s="67" t="str">
        <x:f>IF(OR(C7="",D7=""),"",D7-C7)</x:f>
      </x:c>
    </x:row>
    <x:row r="8">
      <x:c r="A8" s="65" t="n">
        <x:v>4</x:v>
      </x:c>
      <x:c r="B8" s="66" t="str">
        <x:v>I can write a structured prompt</x:v>
      </x:c>
      <x:c r="C8" s="114" t="str"/>
      <x:c r="D8" s="114" t="str"/>
      <x:c r="E8" s="67" t="str">
        <x:f>IF(OR(C8="",D8=""),"",D8-C8)</x:f>
      </x:c>
    </x:row>
    <x:row r="9">
      <x:c r="A9" s="65" t="n">
        <x:v>5</x:v>
      </x:c>
      <x:c r="B9" s="66" t="str">
        <x:v>I can refine an output through dialogue</x:v>
      </x:c>
      <x:c r="C9" s="114" t="str"/>
      <x:c r="D9" s="114" t="str"/>
      <x:c r="E9" s="67" t="str">
        <x:f>IF(OR(C9="",D9=""),"",D9-C9)</x:f>
      </x:c>
    </x:row>
    <x:row r="10">
      <x:c r="A10" s="65" t="n">
        <x:v>6</x:v>
      </x:c>
      <x:c r="B10" s="66" t="str">
        <x:v>I can identify hallucinations and unsupported claims</x:v>
      </x:c>
      <x:c r="C10" s="114" t="str"/>
      <x:c r="D10" s="114" t="str"/>
      <x:c r="E10" s="67" t="str">
        <x:f>IF(OR(C10="",D10=""),"",D10-C10)</x:f>
      </x:c>
    </x:row>
    <x:row r="11">
      <x:c r="A11" s="65" t="n">
        <x:v>7</x:v>
      </x:c>
      <x:c r="B11" s="66" t="str">
        <x:v>I can verify numbers, sources and policy references</x:v>
      </x:c>
      <x:c r="C11" s="114" t="str"/>
      <x:c r="D11" s="114" t="str"/>
      <x:c r="E11" s="67" t="str">
        <x:f>IF(OR(C11="",D11=""),"",D11-C11)</x:f>
      </x:c>
    </x:row>
    <x:row r="12">
      <x:c r="A12" s="65" t="n">
        <x:v>8</x:v>
      </x:c>
      <x:c r="B12" s="66" t="str">
        <x:v>I can classify data before using an AI tool</x:v>
      </x:c>
      <x:c r="C12" s="114" t="str"/>
      <x:c r="D12" s="114" t="str"/>
      <x:c r="E12" s="67" t="str">
        <x:f>IF(OR(C12="",D12=""),"",D12-C12)</x:f>
      </x:c>
    </x:row>
    <x:row r="13">
      <x:c r="A13" s="65" t="n">
        <x:v>9</x:v>
      </x:c>
      <x:c r="B13" s="66" t="str">
        <x:v>I can identify a low-risk workplace use case</x:v>
      </x:c>
      <x:c r="C13" s="114" t="str"/>
      <x:c r="D13" s="114" t="str"/>
      <x:c r="E13" s="67" t="str">
        <x:f>IF(OR(C13="",D13=""),"",D13-C13)</x:f>
      </x:c>
    </x:row>
    <x:row r="14">
      <x:c r="A14" s="68" t="n">
        <x:v>10</x:v>
      </x:c>
      <x:c r="B14" s="69" t="str">
        <x:v>I can measure time and quality impact</x:v>
      </x:c>
      <x:c r="C14" s="116" t="str"/>
      <x:c r="D14" s="116" t="str"/>
      <x:c r="E14" s="70" t="str">
        <x:f>IF(OR(C14="",D14=""),"",D14-C14)</x:f>
      </x:c>
    </x:row>
  </x:sheetData>
  <x:mergeCells>
    <x:mergeCell ref="A2:D2"/>
  </x:mergeCells>
  <x:dataValidations count="1">
    <x:dataValidation type="whole" operator="between" sqref="C5:D14">
      <x:formula1>1</x:formula1>
      <x:formula2>5</x:formula2>
    </x:dataValidation>
  </x:dataValidations>
  <x:pageMargins left="0.7" right="0.7" top="0.75" bottom="0.75" header="0.3" footer="0.3"/>
</x:worksheet>
</file>